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Backup 1\Google Drive Transfer Files\Trainings\Thermax\20251111 - Basic Excel\Basic Excel\"/>
    </mc:Choice>
  </mc:AlternateContent>
  <xr:revisionPtr revIDLastSave="0" documentId="13_ncr:1_{6D3E0A8C-A6DE-44E0-911C-D8E96C49DA34}" xr6:coauthVersionLast="47" xr6:coauthVersionMax="47" xr10:uidLastSave="{00000000-0000-0000-0000-000000000000}"/>
  <bookViews>
    <workbookView xWindow="-120" yWindow="-120" windowWidth="20730" windowHeight="11040" firstSheet="30" activeTab="32" xr2:uid="{00000000-000D-0000-FFFF-FFFF00000000}"/>
  </bookViews>
  <sheets>
    <sheet name="001 - Remove Formatting" sheetId="1" r:id="rId1"/>
    <sheet name="002 - Autofit Columns" sheetId="3" r:id="rId2"/>
    <sheet name="003 - Sum and Difference" sheetId="5" r:id="rId3"/>
    <sheet name="004 - Get the Net Income 1" sheetId="7" r:id="rId4"/>
    <sheet name="005 - Remove $" sheetId="10" r:id="rId5"/>
    <sheet name="006 - Get Net Income 2" sheetId="11" r:id="rId6"/>
    <sheet name="007 - Calculate change %" sheetId="12" r:id="rId7"/>
    <sheet name="008 - Avg Change %" sheetId="14" r:id="rId8"/>
    <sheet name="009 - Sort by Country" sheetId="15" r:id="rId9"/>
    <sheet name="010 - Finding Stable or Growth" sheetId="16" r:id="rId10"/>
    <sheet name="011 - Show by Remaks, Country" sheetId="17" r:id="rId11"/>
    <sheet name="012 - Conditionaly Color Remark" sheetId="18" r:id="rId12"/>
    <sheet name="012 - Conditionaly Color Custom" sheetId="45" r:id="rId13"/>
    <sheet name="013 - Show Up Down Arrows" sheetId="19" r:id="rId14"/>
    <sheet name="014 - Summarize Growth &amp; Stable" sheetId="20" r:id="rId15"/>
    <sheet name="014 - Summarize Growth &amp; St (2)" sheetId="46" r:id="rId16"/>
    <sheet name="015 - Concatenate Headings" sheetId="22" r:id="rId17"/>
    <sheet name="016 - Get Change % (Table)" sheetId="23" r:id="rId18"/>
    <sheet name="017 - Get Change % (Table) (2)" sheetId="24" r:id="rId19"/>
    <sheet name="018 - &lt;=  0 Red else Green" sheetId="26" r:id="rId20"/>
    <sheet name="019 - Color in First table" sheetId="27" r:id="rId21"/>
    <sheet name="020 - Lookup Price" sheetId="25" r:id="rId22"/>
    <sheet name="021 - Lookup Dept Name" sheetId="28" r:id="rId23"/>
    <sheet name="Sheet5" sheetId="47" r:id="rId24"/>
    <sheet name="Sheet6" sheetId="48" r:id="rId25"/>
    <sheet name="Sheet6 (2)" sheetId="49" r:id="rId26"/>
    <sheet name="022 - 2 to 1 Table Lookup" sheetId="29" r:id="rId27"/>
    <sheet name="023 - Create Table" sheetId="31" r:id="rId28"/>
    <sheet name="024 - Lookup from other Sheet" sheetId="32" r:id="rId29"/>
    <sheet name="025 - Combine Names" sheetId="36" r:id="rId30"/>
    <sheet name="025 - Combine Names (2)" sheetId="50" r:id="rId31"/>
    <sheet name="025 - Combine Names (3)" sheetId="51" r:id="rId32"/>
    <sheet name="026 - Split Names" sheetId="37" r:id="rId33"/>
    <sheet name="027 -Show Country in Caps" sheetId="38" r:id="rId34"/>
    <sheet name="028 - Cricketers in dropdown" sheetId="42" r:id="rId35"/>
  </sheets>
  <definedNames>
    <definedName name="Slicer_Risk">#N/A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7" l="1"/>
  <c r="C2" i="37"/>
  <c r="B2" i="37"/>
  <c r="B3" i="37"/>
  <c r="C3" i="37"/>
  <c r="D3" i="37"/>
  <c r="B4" i="37"/>
  <c r="C4" i="37"/>
  <c r="D4" i="37"/>
  <c r="B5" i="37"/>
  <c r="C5" i="37"/>
  <c r="D5" i="37"/>
  <c r="B6" i="37"/>
  <c r="C6" i="37"/>
  <c r="D6" i="37"/>
  <c r="B7" i="37"/>
  <c r="C7" i="37"/>
  <c r="D7" i="37"/>
  <c r="B8" i="37"/>
  <c r="C8" i="37"/>
  <c r="D8" i="37"/>
  <c r="B9" i="37"/>
  <c r="C9" i="37"/>
  <c r="D9" i="37"/>
  <c r="B10" i="37"/>
  <c r="C10" i="37"/>
  <c r="D10" i="37"/>
  <c r="B11" i="37"/>
  <c r="C11" i="37"/>
  <c r="D11" i="37"/>
  <c r="B12" i="37"/>
  <c r="C12" i="37"/>
  <c r="D12" i="37"/>
  <c r="B13" i="37"/>
  <c r="C13" i="37"/>
  <c r="D13" i="37"/>
  <c r="B14" i="37"/>
  <c r="C14" i="37"/>
  <c r="D14" i="37"/>
  <c r="B15" i="37"/>
  <c r="C15" i="37"/>
  <c r="D15" i="37"/>
  <c r="B16" i="37"/>
  <c r="C16" i="37"/>
  <c r="D16" i="37"/>
  <c r="B17" i="37"/>
  <c r="C17" i="37"/>
  <c r="D17" i="37"/>
  <c r="B18" i="37"/>
  <c r="C18" i="37"/>
  <c r="D18" i="37"/>
  <c r="B19" i="37"/>
  <c r="C19" i="37"/>
  <c r="D19" i="37"/>
  <c r="B20" i="37"/>
  <c r="C20" i="37"/>
  <c r="D20" i="37"/>
  <c r="B21" i="37"/>
  <c r="C21" i="37"/>
  <c r="D21" i="37"/>
  <c r="D2" i="51"/>
  <c r="D3" i="51"/>
  <c r="D4" i="51"/>
  <c r="D5" i="51"/>
  <c r="D6" i="51"/>
  <c r="D7" i="51"/>
  <c r="D8" i="51"/>
  <c r="D9" i="51"/>
  <c r="D10" i="51"/>
  <c r="D11" i="51"/>
  <c r="D12" i="51"/>
  <c r="D13" i="51"/>
  <c r="D14" i="51"/>
  <c r="D15" i="51"/>
  <c r="D16" i="51"/>
  <c r="D17" i="51"/>
  <c r="D18" i="51"/>
  <c r="D19" i="51"/>
  <c r="D20" i="51"/>
  <c r="D21" i="51"/>
  <c r="K2" i="29"/>
  <c r="K3" i="29"/>
  <c r="K4" i="29"/>
  <c r="K5" i="29"/>
  <c r="J2" i="29"/>
  <c r="J3" i="29"/>
  <c r="J4" i="29"/>
  <c r="J5" i="29"/>
  <c r="I2" i="29"/>
  <c r="I3" i="29"/>
  <c r="I4" i="29"/>
  <c r="I5" i="29"/>
  <c r="D3" i="28"/>
  <c r="D4" i="28"/>
  <c r="D5" i="28"/>
  <c r="D2" i="28"/>
  <c r="E3" i="25"/>
  <c r="E4" i="25"/>
  <c r="E5" i="25"/>
  <c r="E6" i="25"/>
  <c r="E2" i="25"/>
  <c r="D2" i="25"/>
  <c r="D3" i="25"/>
  <c r="D4" i="25"/>
  <c r="D5" i="25"/>
  <c r="D6" i="25"/>
  <c r="H3" i="46"/>
  <c r="I3" i="46"/>
  <c r="I2" i="46"/>
  <c r="H2" i="46"/>
  <c r="H2" i="20"/>
  <c r="H3" i="20"/>
  <c r="I3" i="20"/>
  <c r="I2" i="20"/>
  <c r="D3" i="19"/>
  <c r="D4" i="19"/>
  <c r="D5" i="19"/>
  <c r="D6" i="19"/>
  <c r="D2" i="19"/>
  <c r="D4" i="45"/>
  <c r="D5" i="45"/>
  <c r="D2" i="45"/>
  <c r="D3" i="45"/>
  <c r="D6" i="45"/>
  <c r="D11" i="45"/>
  <c r="D7" i="45"/>
  <c r="D12" i="45"/>
  <c r="D8" i="45"/>
  <c r="D9" i="45"/>
  <c r="D13" i="45"/>
  <c r="D14" i="45"/>
  <c r="D15" i="45"/>
  <c r="D16" i="45"/>
  <c r="D17" i="45"/>
  <c r="D18" i="45"/>
  <c r="D19" i="45"/>
  <c r="D20" i="45"/>
  <c r="D21" i="45"/>
  <c r="D10" i="45"/>
  <c r="D2" i="16"/>
  <c r="D3" i="16"/>
  <c r="D4" i="16"/>
  <c r="D5" i="16"/>
  <c r="D6" i="16"/>
  <c r="D7" i="16"/>
  <c r="D8" i="16"/>
  <c r="D9" i="16"/>
  <c r="D10" i="16"/>
  <c r="D11" i="16"/>
  <c r="D12" i="16"/>
  <c r="D13" i="16"/>
  <c r="D14" i="16"/>
  <c r="D15" i="16"/>
  <c r="D16" i="16"/>
  <c r="D17" i="16"/>
  <c r="D18" i="16"/>
  <c r="D19" i="16"/>
  <c r="D20" i="16"/>
  <c r="D21" i="16"/>
  <c r="F2" i="14"/>
  <c r="D3" i="12"/>
  <c r="D4" i="12"/>
  <c r="D5" i="12"/>
  <c r="D6" i="12"/>
  <c r="D7" i="12"/>
  <c r="D8" i="12"/>
  <c r="D9" i="12"/>
  <c r="D10" i="12"/>
  <c r="D11" i="12"/>
  <c r="D12" i="12"/>
  <c r="D13" i="12"/>
  <c r="D14" i="12"/>
  <c r="D15" i="12"/>
  <c r="D16" i="12"/>
  <c r="D17" i="12"/>
  <c r="D18" i="12"/>
  <c r="D19" i="12"/>
  <c r="D20" i="12"/>
  <c r="D21" i="12"/>
  <c r="D2" i="12"/>
  <c r="C26" i="10"/>
  <c r="B27" i="7"/>
  <c r="B6" i="7"/>
  <c r="B9" i="7"/>
  <c r="B20" i="7"/>
  <c r="B25" i="7"/>
  <c r="B28" i="5"/>
  <c r="B26" i="5"/>
  <c r="B21" i="5"/>
  <c r="B10" i="5"/>
  <c r="B9" i="5"/>
  <c r="B6" i="5"/>
</calcChain>
</file>

<file path=xl/sharedStrings.xml><?xml version="1.0" encoding="utf-8"?>
<sst xmlns="http://schemas.openxmlformats.org/spreadsheetml/2006/main" count="1108" uniqueCount="309">
  <si>
    <t>Category</t>
  </si>
  <si>
    <t>Item Name</t>
  </si>
  <si>
    <t>Revenue</t>
  </si>
  <si>
    <t>Sales</t>
  </si>
  <si>
    <t>Services Revenue</t>
  </si>
  <si>
    <t>Other Revenue</t>
  </si>
  <si>
    <t>Cost of Goods Sold</t>
  </si>
  <si>
    <t>Gross Profit</t>
  </si>
  <si>
    <t>Operating Expenses</t>
  </si>
  <si>
    <t>Salaries and Wages</t>
  </si>
  <si>
    <t>Rent and Lease</t>
  </si>
  <si>
    <t>Utilities</t>
  </si>
  <si>
    <t>Marketing and Advertising</t>
  </si>
  <si>
    <t>Depreciation</t>
  </si>
  <si>
    <t>Other Operating Expenses</t>
  </si>
  <si>
    <t>Operating Income</t>
  </si>
  <si>
    <t>Non-Operating Income</t>
  </si>
  <si>
    <t>Interest Income</t>
  </si>
  <si>
    <t>Other Non-Operating Income</t>
  </si>
  <si>
    <t>Non-Operating Expenses</t>
  </si>
  <si>
    <t>Interest Expenses</t>
  </si>
  <si>
    <t>Taxes</t>
  </si>
  <si>
    <t>Other Non-Operating Expenses</t>
  </si>
  <si>
    <t>Net Income</t>
  </si>
  <si>
    <t>Amount ($)</t>
  </si>
  <si>
    <t>Sub Total A</t>
  </si>
  <si>
    <t>Sub Total B</t>
  </si>
  <si>
    <t>Gross Profit C = A - B</t>
  </si>
  <si>
    <t>Sub Total D</t>
  </si>
  <si>
    <t>Sub Total E</t>
  </si>
  <si>
    <t>Net Income F = C - D + E</t>
  </si>
  <si>
    <t>Type (Cr/Dr)</t>
  </si>
  <si>
    <t>Cr</t>
  </si>
  <si>
    <t>Dr</t>
  </si>
  <si>
    <t>Net Profit</t>
  </si>
  <si>
    <t>Amount ()</t>
  </si>
  <si>
    <t>Country</t>
  </si>
  <si>
    <t>Sales 2023 ($)</t>
  </si>
  <si>
    <t>Sales 2024 ($)</t>
  </si>
  <si>
    <t>United States</t>
  </si>
  <si>
    <t>China</t>
  </si>
  <si>
    <t>Japan</t>
  </si>
  <si>
    <t>Germany</t>
  </si>
  <si>
    <t>United Kingdom</t>
  </si>
  <si>
    <t>France</t>
  </si>
  <si>
    <t>India</t>
  </si>
  <si>
    <t>Brazil</t>
  </si>
  <si>
    <t>Canada</t>
  </si>
  <si>
    <t>Australia</t>
  </si>
  <si>
    <t>South Korea</t>
  </si>
  <si>
    <t>Italy</t>
  </si>
  <si>
    <t>Spain</t>
  </si>
  <si>
    <t>Mexico</t>
  </si>
  <si>
    <t>Netherlands</t>
  </si>
  <si>
    <t>Turkey</t>
  </si>
  <si>
    <t>Switzerland</t>
  </si>
  <si>
    <t>Russia</t>
  </si>
  <si>
    <t>Sweden</t>
  </si>
  <si>
    <t>Saudi Arabia</t>
  </si>
  <si>
    <t>Change</t>
  </si>
  <si>
    <t>Change %</t>
  </si>
  <si>
    <t>Average Change %</t>
  </si>
  <si>
    <t>If Change is less than equal to 7% write Stable if more than write Growth</t>
  </si>
  <si>
    <t>Growth</t>
  </si>
  <si>
    <t>Stable</t>
  </si>
  <si>
    <t>Remarks</t>
  </si>
  <si>
    <t>Product</t>
  </si>
  <si>
    <t>Smartphone X</t>
  </si>
  <si>
    <t>Laptop Y</t>
  </si>
  <si>
    <t>Smart TV Z</t>
  </si>
  <si>
    <t>Fitness Tracker</t>
  </si>
  <si>
    <t>Wireless Earbuds</t>
  </si>
  <si>
    <t>Sales 2023</t>
  </si>
  <si>
    <t>Sales 2024</t>
  </si>
  <si>
    <t xml:space="preserve"> Region    </t>
  </si>
  <si>
    <t xml:space="preserve"> North     </t>
  </si>
  <si>
    <t xml:space="preserve"> South     </t>
  </si>
  <si>
    <t xml:space="preserve"> East      </t>
  </si>
  <si>
    <t xml:space="preserve"> West      </t>
  </si>
  <si>
    <t>2022-2021</t>
  </si>
  <si>
    <t>2023-2022</t>
  </si>
  <si>
    <t>2024-2023</t>
  </si>
  <si>
    <t>Color Positive with Green and Negative with Red</t>
  </si>
  <si>
    <t>Order ID</t>
  </si>
  <si>
    <t>Quantity</t>
  </si>
  <si>
    <t>Price per Unit</t>
  </si>
  <si>
    <t>Product A</t>
  </si>
  <si>
    <t>Product B</t>
  </si>
  <si>
    <t>Product C</t>
  </si>
  <si>
    <t>Default Price</t>
  </si>
  <si>
    <t>Product D</t>
  </si>
  <si>
    <t>Amount</t>
  </si>
  <si>
    <t>Employee ID</t>
  </si>
  <si>
    <t>Employee Name</t>
  </si>
  <si>
    <t>Department ID</t>
  </si>
  <si>
    <t>Rajesh Kumar</t>
  </si>
  <si>
    <t>Priya Singh</t>
  </si>
  <si>
    <t>Sanjay Verma</t>
  </si>
  <si>
    <t>Neha Sharma</t>
  </si>
  <si>
    <t>Department Name</t>
  </si>
  <si>
    <t>Marketing</t>
  </si>
  <si>
    <t>Finance</t>
  </si>
  <si>
    <t>Machine ID</t>
  </si>
  <si>
    <t>Machine Name</t>
  </si>
  <si>
    <t>Production Quantity</t>
  </si>
  <si>
    <t>M101</t>
  </si>
  <si>
    <t>Machine A</t>
  </si>
  <si>
    <t>M102</t>
  </si>
  <si>
    <t>Machine B</t>
  </si>
  <si>
    <t>M103</t>
  </si>
  <si>
    <t>Machine C</t>
  </si>
  <si>
    <t>M104</t>
  </si>
  <si>
    <t>Machine D</t>
  </si>
  <si>
    <t>Rate</t>
  </si>
  <si>
    <t>Qty</t>
  </si>
  <si>
    <t>West</t>
  </si>
  <si>
    <t>South</t>
  </si>
  <si>
    <t>Virat Kohli (India)</t>
  </si>
  <si>
    <t>Steve Smith (Australia)</t>
  </si>
  <si>
    <t>Joe Root (England)</t>
  </si>
  <si>
    <t>Babar Azam (Pakistan)</t>
  </si>
  <si>
    <t>Jasprit Bumrah (India)</t>
  </si>
  <si>
    <t>Ben Stokes (England)</t>
  </si>
  <si>
    <t>David Warner (Australia)</t>
  </si>
  <si>
    <t>Rashid Khan (Afghanistan)</t>
  </si>
  <si>
    <t>Eoin Morgan (England)</t>
  </si>
  <si>
    <t>Pat Cummins (Australia)</t>
  </si>
  <si>
    <t>Mushfiqur Rahim (Bangladesh)</t>
  </si>
  <si>
    <t>Virat</t>
  </si>
  <si>
    <t>Steve</t>
  </si>
  <si>
    <t>Kane</t>
  </si>
  <si>
    <t>Joe</t>
  </si>
  <si>
    <t>Babar</t>
  </si>
  <si>
    <t>Quinton</t>
  </si>
  <si>
    <t>Jasprit</t>
  </si>
  <si>
    <t>Ben</t>
  </si>
  <si>
    <t>David</t>
  </si>
  <si>
    <t>Rashid</t>
  </si>
  <si>
    <t>Kohli</t>
  </si>
  <si>
    <t>Smith</t>
  </si>
  <si>
    <t>New</t>
  </si>
  <si>
    <t>Root</t>
  </si>
  <si>
    <t>Azam</t>
  </si>
  <si>
    <t>Bumrah</t>
  </si>
  <si>
    <t>Stokes</t>
  </si>
  <si>
    <t>Warner</t>
  </si>
  <si>
    <t>Khan</t>
  </si>
  <si>
    <t>New Zealand</t>
  </si>
  <si>
    <t>England</t>
  </si>
  <si>
    <t>Pakistan</t>
  </si>
  <si>
    <t>South Africa</t>
  </si>
  <si>
    <t>Afghanistan</t>
  </si>
  <si>
    <t>Ross</t>
  </si>
  <si>
    <t>Faf</t>
  </si>
  <si>
    <t>Shakib</t>
  </si>
  <si>
    <t>Eoin</t>
  </si>
  <si>
    <t>Pat</t>
  </si>
  <si>
    <t>Shai</t>
  </si>
  <si>
    <t>Mushfiqur</t>
  </si>
  <si>
    <t>Lasith</t>
  </si>
  <si>
    <t>Jason</t>
  </si>
  <si>
    <t>Kagiso</t>
  </si>
  <si>
    <t>Hasan</t>
  </si>
  <si>
    <t>Morgan</t>
  </si>
  <si>
    <t>Cummins</t>
  </si>
  <si>
    <t>Rahim</t>
  </si>
  <si>
    <t>Sri</t>
  </si>
  <si>
    <t>Bangladesh</t>
  </si>
  <si>
    <t>West Indies</t>
  </si>
  <si>
    <t>Sri Lanka</t>
  </si>
  <si>
    <t>First Name</t>
  </si>
  <si>
    <t>Last Name</t>
  </si>
  <si>
    <t>Kane New (New Zealand)</t>
  </si>
  <si>
    <t>Quinton South (South Africa)</t>
  </si>
  <si>
    <t>Ross New (New Zealand)</t>
  </si>
  <si>
    <t>Faf South (South Africa)</t>
  </si>
  <si>
    <t>Shakib Hasan (Bangladesh)</t>
  </si>
  <si>
    <t>Shai West (West Indies)</t>
  </si>
  <si>
    <t>Lasith Sri (Sri Lanka)</t>
  </si>
  <si>
    <t>Jason West (West Indies)</t>
  </si>
  <si>
    <t>Kagiso South (South Africa)</t>
  </si>
  <si>
    <t xml:space="preserve">Cricketers </t>
  </si>
  <si>
    <t>Show Criketers in List</t>
  </si>
  <si>
    <t>Ctrl + Page up to navigate to left sheet</t>
  </si>
  <si>
    <t>Ctrl + Page down to navigate to right sheet</t>
  </si>
  <si>
    <t>Select single cell, then select two cells</t>
  </si>
  <si>
    <t>Ctrl + Spacebar to select entire column</t>
  </si>
  <si>
    <t>Alt OCA to Autofit Column</t>
  </si>
  <si>
    <t>Alt ORA to Autofit Row</t>
  </si>
  <si>
    <t>Steps</t>
  </si>
  <si>
    <t>Ctrl + Scroll In to Zoom out</t>
  </si>
  <si>
    <t>Ctrl + Scroll out to Zoom in</t>
  </si>
  <si>
    <t>Methods</t>
  </si>
  <si>
    <t>enter =sum then press tab then select the range and press enter</t>
  </si>
  <si>
    <t>select blank cell and press Alt + =</t>
  </si>
  <si>
    <t>Select entire range while keeping last cell empty, then press alt + =</t>
  </si>
  <si>
    <t>select cell d2</t>
  </si>
  <si>
    <t>enter = left arrow then - then left arrow (2)</t>
  </si>
  <si>
    <t>put it in parenthesis</t>
  </si>
  <si>
    <t>put a / and then select C2</t>
  </si>
  <si>
    <t>Ctrl + Shift + 5/%</t>
  </si>
  <si>
    <t>To convert values to Percentage</t>
  </si>
  <si>
    <t>Alt DS for Data Sort</t>
  </si>
  <si>
    <t>Alt DS for Data sort</t>
  </si>
  <si>
    <t>&gt;7%</t>
  </si>
  <si>
    <t>&lt;=4%</t>
  </si>
  <si>
    <t>Decline</t>
  </si>
  <si>
    <t>&lt;=7%</t>
  </si>
  <si>
    <t>Ctrl + R to fill to Right</t>
  </si>
  <si>
    <t>Ctrl + D to Fill down</t>
  </si>
  <si>
    <t>Date Due</t>
  </si>
  <si>
    <t>Name of Customer</t>
  </si>
  <si>
    <t>Customer 6</t>
  </si>
  <si>
    <t>Customer 44</t>
  </si>
  <si>
    <t>Customer 11</t>
  </si>
  <si>
    <t>Customer 9</t>
  </si>
  <si>
    <t>Customer 31</t>
  </si>
  <si>
    <t>Customer 34</t>
  </si>
  <si>
    <t>Customer 19</t>
  </si>
  <si>
    <t>Customer 13</t>
  </si>
  <si>
    <t>Customer 21</t>
  </si>
  <si>
    <t>Customer 14</t>
  </si>
  <si>
    <t>Customer 36</t>
  </si>
  <si>
    <t>Customer 22</t>
  </si>
  <si>
    <t>Customer 1</t>
  </si>
  <si>
    <t>Customer 50</t>
  </si>
  <si>
    <t>Customer 5</t>
  </si>
  <si>
    <t>Customer 23</t>
  </si>
  <si>
    <t>Customer 47</t>
  </si>
  <si>
    <t>Customer 24</t>
  </si>
  <si>
    <t>Customer 28</t>
  </si>
  <si>
    <t>Customer 15</t>
  </si>
  <si>
    <t>Customer 17</t>
  </si>
  <si>
    <t>Customer 32</t>
  </si>
  <si>
    <t>Alt IW to insert a new sheet</t>
  </si>
  <si>
    <t>Ctrl + A to select table</t>
  </si>
  <si>
    <t>Alt EAF to clear formatting</t>
  </si>
  <si>
    <t>Ctrl + Shift + #/3</t>
  </si>
  <si>
    <t>Party Name</t>
  </si>
  <si>
    <t>Risk</t>
  </si>
  <si>
    <t>ICICI Bank Ltd.</t>
  </si>
  <si>
    <t>High</t>
  </si>
  <si>
    <t>ITC Ltd.</t>
  </si>
  <si>
    <t>Low</t>
  </si>
  <si>
    <t>Mahindra &amp; Mahindra Ltd.</t>
  </si>
  <si>
    <t>UltraTech Cement Ltd.</t>
  </si>
  <si>
    <t>Moderate</t>
  </si>
  <si>
    <t>HDFC Bank Ltd.</t>
  </si>
  <si>
    <t>Reliance Industries Ltd.</t>
  </si>
  <si>
    <t>Bajaj Auto Ltd.</t>
  </si>
  <si>
    <t>State Bank of India</t>
  </si>
  <si>
    <t>Power Grid Corporation</t>
  </si>
  <si>
    <t>Nestle India Ltd.</t>
  </si>
  <si>
    <t>Bharti Airtel Ltd.</t>
  </si>
  <si>
    <t>Indian Oil Corporation Ltd.</t>
  </si>
  <si>
    <t>Axis Bank Ltd.</t>
  </si>
  <si>
    <t>Maruti Suzuki India Ltd.</t>
  </si>
  <si>
    <t>JSW Steel Ltd.</t>
  </si>
  <si>
    <t>Infosys Ltd.</t>
  </si>
  <si>
    <t>Wipro Ltd.</t>
  </si>
  <si>
    <t>Sun Pharma Ltd.</t>
  </si>
  <si>
    <t>Larsen &amp; Toubro Ltd.</t>
  </si>
  <si>
    <t>Adani Ports Ltd.</t>
  </si>
  <si>
    <t>Ctrl + T to create a table</t>
  </si>
  <si>
    <t>First Name Last Name (Country)</t>
  </si>
  <si>
    <t>Ctrl + E for flash fill</t>
  </si>
  <si>
    <t>Kohli, Virat - India</t>
  </si>
  <si>
    <t>Smith, Steve - Australia</t>
  </si>
  <si>
    <t>New, Kane - New Zealand</t>
  </si>
  <si>
    <t>Root, Joe - England</t>
  </si>
  <si>
    <t>Azam, Babar - Pakistan</t>
  </si>
  <si>
    <t>South, Quinton - South Africa</t>
  </si>
  <si>
    <t>Bumrah, Jasprit - India</t>
  </si>
  <si>
    <t>Stokes, Ben - England</t>
  </si>
  <si>
    <t>Warner, David - Australia</t>
  </si>
  <si>
    <t>Khan, Rashid - Afghanistan</t>
  </si>
  <si>
    <t>virat.kohli@gmail.com</t>
  </si>
  <si>
    <t>steve.smith@gmail.com</t>
  </si>
  <si>
    <t>kane.new@gmail.com</t>
  </si>
  <si>
    <t>joe.root@gmail.com</t>
  </si>
  <si>
    <t>babar.azam@gmail.com</t>
  </si>
  <si>
    <t>quinton.south@gmail.com</t>
  </si>
  <si>
    <t>jasprit.bumrah@gmail.com</t>
  </si>
  <si>
    <t>ben.stokes@gmail.com</t>
  </si>
  <si>
    <t>david.warner@gmail.com</t>
  </si>
  <si>
    <t>rashid.khan@gmail.com</t>
  </si>
  <si>
    <t>Last Name, First Name - Country</t>
  </si>
  <si>
    <t>New, Ross - New Zealand</t>
  </si>
  <si>
    <t>South, Faf - South Africa</t>
  </si>
  <si>
    <t>Hasan, Shakib - Bangladesh</t>
  </si>
  <si>
    <t>Morgan, Eoin - England</t>
  </si>
  <si>
    <t>Cummins, Pat - Australia</t>
  </si>
  <si>
    <t>West, Shai - West Indies</t>
  </si>
  <si>
    <t>Rahim, Mushfiqur - Bangladesh</t>
  </si>
  <si>
    <t>Sri, Lasith - Sri Lanka</t>
  </si>
  <si>
    <t>West, Jason - West Indies</t>
  </si>
  <si>
    <t>South, Kagiso - South Africa</t>
  </si>
  <si>
    <t>first name.last name@gmail.com</t>
  </si>
  <si>
    <t>ross.new@gmail.com</t>
  </si>
  <si>
    <t>faf.south@gmail.com</t>
  </si>
  <si>
    <t>shakib.hasan@gmail.com</t>
  </si>
  <si>
    <t>eoin.morgan@gmail.com</t>
  </si>
  <si>
    <t>pat.cummins@gmail.com</t>
  </si>
  <si>
    <t>shai.west@gmail.com</t>
  </si>
  <si>
    <t>mushfiqur.rahim@gmail.com</t>
  </si>
  <si>
    <t>lasith.sri@gmail.com</t>
  </si>
  <si>
    <t>jason.west@gmail.com</t>
  </si>
  <si>
    <t>kagiso.south@gmail.com</t>
  </si>
  <si>
    <t>Email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</si>
</sst>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
  </numFmts>
  <fonts count="5" x14ac:knownFonts="1">
    <font>
      <sz val="11"/>
      <color theme="1"/>
      <name val="Calibri"/>
      <family val="2"/>
      <scheme val="minor"/>
    </font>
    <font>
      <sz val="9.6"/>
      <color rgb="FF374151"/>
      <name val="Segoe UI"/>
      <family val="2"/>
    </font>
    <font>
      <sz val="9.6"/>
      <color rgb="FF374151"/>
      <name val="Segoe UI"/>
      <family val="2"/>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7F7F8"/>
        <bgColor indexed="64"/>
      </patternFill>
    </fill>
    <fill>
      <patternFill patternType="solid">
        <fgColor theme="8" tint="0.79998168889431442"/>
        <bgColor indexed="64"/>
      </patternFill>
    </fill>
    <fill>
      <patternFill patternType="solid">
        <fgColor theme="8" tint="0.59999389629810485"/>
        <bgColor indexed="64"/>
      </patternFill>
    </fill>
  </fills>
  <borders count="13">
    <border>
      <left/>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3" xfId="0" applyFont="1" applyFill="1" applyBorder="1" applyAlignment="1">
      <alignment vertical="center" wrapText="1"/>
    </xf>
    <xf numFmtId="0" fontId="0" fillId="3" borderId="0" xfId="0" applyFill="1"/>
    <xf numFmtId="0" fontId="0" fillId="4" borderId="0" xfId="0" applyFill="1"/>
    <xf numFmtId="3"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3" fillId="0" borderId="0" xfId="0" applyFont="1"/>
    <xf numFmtId="0" fontId="0" fillId="0" borderId="0" xfId="0" applyFont="1"/>
    <xf numFmtId="165" fontId="0" fillId="0" borderId="0" xfId="0" applyNumberFormat="1"/>
    <xf numFmtId="9" fontId="0" fillId="4" borderId="0" xfId="0" applyNumberFormat="1" applyFill="1"/>
    <xf numFmtId="15" fontId="0" fillId="0" borderId="0" xfId="0" applyNumberFormat="1"/>
    <xf numFmtId="0" fontId="4" fillId="0" borderId="0" xfId="1"/>
  </cellXfs>
  <cellStyles count="2">
    <cellStyle name="Hyperlink" xfId="1" builtinId="8"/>
    <cellStyle name="Normal" xfId="0" builtinId="0"/>
  </cellStyles>
  <dxfs count="9">
    <dxf>
      <font>
        <color theme="0"/>
      </font>
      <fill>
        <patternFill>
          <bgColor rgb="FFC00000"/>
        </patternFill>
      </fill>
    </dxf>
    <dxf>
      <fill>
        <patternFill>
          <bgColor theme="7" tint="0.79998168889431442"/>
        </patternFill>
      </fill>
    </dxf>
    <dxf>
      <fill>
        <patternFill>
          <bgColor rgb="FF92D050"/>
        </patternFill>
      </fill>
    </dxf>
    <dxf>
      <fill>
        <patternFill>
          <bgColor theme="7" tint="0.79998168889431442"/>
        </patternFill>
      </fill>
    </dxf>
    <dxf>
      <fill>
        <patternFill>
          <bgColor rgb="FF92D050"/>
        </patternFill>
      </fill>
    </dxf>
    <dxf>
      <fill>
        <patternFill>
          <bgColor theme="7" tint="0.79998168889431442"/>
        </patternFill>
      </fill>
    </dxf>
    <dxf>
      <fill>
        <patternFill>
          <bgColor rgb="FF92D050"/>
        </patternFill>
      </fill>
    </dxf>
    <dxf>
      <fill>
        <patternFill>
          <bgColor theme="7" tint="0.79998168889431442"/>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342035</xdr:colOff>
      <xdr:row>0</xdr:row>
      <xdr:rowOff>0</xdr:rowOff>
    </xdr:from>
    <xdr:to>
      <xdr:col>9</xdr:col>
      <xdr:colOff>44076</xdr:colOff>
      <xdr:row>5</xdr:row>
      <xdr:rowOff>313459</xdr:rowOff>
    </xdr:to>
    <xdr:pic>
      <xdr:nvPicPr>
        <xdr:cNvPr id="2" name="Picture 1">
          <a:extLst>
            <a:ext uri="{FF2B5EF4-FFF2-40B4-BE49-F238E27FC236}">
              <a16:creationId xmlns:a16="http://schemas.microsoft.com/office/drawing/2014/main" id="{81A1E52A-A990-4462-8BCD-2D7EA9D551DF}"/>
            </a:ext>
          </a:extLst>
        </xdr:cNvPr>
        <xdr:cNvPicPr>
          <a:picLocks noChangeAspect="1"/>
        </xdr:cNvPicPr>
      </xdr:nvPicPr>
      <xdr:blipFill>
        <a:blip xmlns:r="http://schemas.openxmlformats.org/officeDocument/2006/relationships" r:embed="rId1"/>
        <a:stretch>
          <a:fillRect/>
        </a:stretch>
      </xdr:blipFill>
      <xdr:spPr>
        <a:xfrm>
          <a:off x="1519671" y="0"/>
          <a:ext cx="3888712" cy="1828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26</xdr:row>
      <xdr:rowOff>191737</xdr:rowOff>
    </xdr:from>
    <xdr:to>
      <xdr:col>4</xdr:col>
      <xdr:colOff>1456825</xdr:colOff>
      <xdr:row>31</xdr:row>
      <xdr:rowOff>147452</xdr:rowOff>
    </xdr:to>
    <xdr:pic>
      <xdr:nvPicPr>
        <xdr:cNvPr id="2" name="Picture 1">
          <a:extLst>
            <a:ext uri="{FF2B5EF4-FFF2-40B4-BE49-F238E27FC236}">
              <a16:creationId xmlns:a16="http://schemas.microsoft.com/office/drawing/2014/main" id="{F1E4CF1B-FD04-3A20-E64D-6E82354608C8}"/>
            </a:ext>
          </a:extLst>
        </xdr:cNvPr>
        <xdr:cNvPicPr>
          <a:picLocks noChangeAspect="1"/>
        </xdr:cNvPicPr>
      </xdr:nvPicPr>
      <xdr:blipFill>
        <a:blip xmlns:r="http://schemas.openxmlformats.org/officeDocument/2006/relationships" r:embed="rId1"/>
        <a:stretch>
          <a:fillRect/>
        </a:stretch>
      </xdr:blipFill>
      <xdr:spPr>
        <a:xfrm>
          <a:off x="3098718" y="5176899"/>
          <a:ext cx="2069146"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29307</xdr:colOff>
      <xdr:row>1</xdr:row>
      <xdr:rowOff>146539</xdr:rowOff>
    </xdr:from>
    <xdr:to>
      <xdr:col>10</xdr:col>
      <xdr:colOff>109427</xdr:colOff>
      <xdr:row>8</xdr:row>
      <xdr:rowOff>184639</xdr:rowOff>
    </xdr:to>
    <xdr:pic>
      <xdr:nvPicPr>
        <xdr:cNvPr id="2" name="Picture 1">
          <a:extLst>
            <a:ext uri="{FF2B5EF4-FFF2-40B4-BE49-F238E27FC236}">
              <a16:creationId xmlns:a16="http://schemas.microsoft.com/office/drawing/2014/main" id="{1B5041F3-26F4-C491-8002-310F0B44DB21}"/>
            </a:ext>
          </a:extLst>
        </xdr:cNvPr>
        <xdr:cNvPicPr>
          <a:picLocks noChangeAspect="1"/>
        </xdr:cNvPicPr>
      </xdr:nvPicPr>
      <xdr:blipFill>
        <a:blip xmlns:r="http://schemas.openxmlformats.org/officeDocument/2006/relationships" r:embed="rId1"/>
        <a:stretch>
          <a:fillRect/>
        </a:stretch>
      </xdr:blipFill>
      <xdr:spPr>
        <a:xfrm>
          <a:off x="4462095" y="337039"/>
          <a:ext cx="3120794" cy="1371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222647</xdr:colOff>
      <xdr:row>0</xdr:row>
      <xdr:rowOff>9525</xdr:rowOff>
    </xdr:from>
    <xdr:to>
      <xdr:col>5</xdr:col>
      <xdr:colOff>535781</xdr:colOff>
      <xdr:row>7</xdr:row>
      <xdr:rowOff>14654</xdr:rowOff>
    </xdr:to>
    <mc:AlternateContent xmlns:mc="http://schemas.openxmlformats.org/markup-compatibility/2006">
      <mc:Choice xmlns:sle15="http://schemas.microsoft.com/office/drawing/2012/slicer" Requires="sle15">
        <xdr:graphicFrame macro="">
          <xdr:nvGraphicFramePr>
            <xdr:cNvPr id="3" name="Risk">
              <a:extLst>
                <a:ext uri="{FF2B5EF4-FFF2-40B4-BE49-F238E27FC236}">
                  <a16:creationId xmlns:a16="http://schemas.microsoft.com/office/drawing/2014/main" id="{649AD0DE-C1D4-7E19-84E6-6B9E178AB352}"/>
                </a:ext>
              </a:extLst>
            </xdr:cNvPr>
            <xdr:cNvGraphicFramePr/>
          </xdr:nvGraphicFramePr>
          <xdr:xfrm>
            <a:off x="0" y="0"/>
            <a:ext cx="0" cy="0"/>
          </xdr:xfrm>
          <a:graphic>
            <a:graphicData uri="http://schemas.microsoft.com/office/drawing/2010/slicer">
              <sle:slicer xmlns:sle="http://schemas.microsoft.com/office/drawing/2010/slicer" name="Risk"/>
            </a:graphicData>
          </a:graphic>
        </xdr:graphicFrame>
      </mc:Choice>
      <mc:Fallback>
        <xdr:sp macro="" textlink="">
          <xdr:nvSpPr>
            <xdr:cNvPr id="0" name=""/>
            <xdr:cNvSpPr>
              <a:spLocks noTextEdit="1"/>
            </xdr:cNvSpPr>
          </xdr:nvSpPr>
          <xdr:spPr>
            <a:xfrm>
              <a:off x="3086100" y="9525"/>
              <a:ext cx="1527572" cy="133862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7926D35E-1BD5-4C4D-9F7B-DA0738E531E1}" sourceName="Risk">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xr10:uid="{D0F03656-3F77-4BDD-B99F-FF24B7FFE5D6}" cache="Slicer_Risk" caption="Ris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2D6C31-41FE-44AA-9B98-48CA59E331BC}" name="Table2" displayName="Table2" ref="A1:C21" totalsRowShown="0">
  <autoFilter ref="A1:C21" xr:uid="{932D6C31-41FE-44AA-9B98-48CA59E331BC}"/>
  <tableColumns count="3">
    <tableColumn id="1" xr3:uid="{731057AA-4E58-4CB0-AED6-3C1D36E6A4C5}" name="Party Name"/>
    <tableColumn id="2" xr3:uid="{9E1E9290-092B-40A6-B744-1A5EF2BE1EFD}" name="Risk"/>
    <tableColumn id="3" xr3:uid="{50E8EE1D-BF9E-40AD-94F2-506C1CBCF840}"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2FAC-DD13-4803-BBA3-42450AF02CA1}" name="Table24" displayName="Table24" ref="A1:C21" totalsRowShown="0">
  <autoFilter ref="A1:C21" xr:uid="{932D6C31-41FE-44AA-9B98-48CA59E331BC}"/>
  <tableColumns count="3">
    <tableColumn id="1" xr3:uid="{BCCB123C-7694-46F7-AA51-77579B5BF2C4}" name="Party Name"/>
    <tableColumn id="2" xr3:uid="{A91E0A68-9BA0-49DF-BCDF-62060D931DE3}" name="Risk"/>
    <tableColumn id="3" xr3:uid="{5F3C5DBF-D581-42DC-BD87-DF14BA5F99B0}"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1.xml.rels><?xml version="1.0" encoding="UTF-8" standalone="yes"?>
<Relationships xmlns="http://schemas.openxmlformats.org/package/2006/relationships"><Relationship Id="rId8" Type="http://schemas.openxmlformats.org/officeDocument/2006/relationships/hyperlink" Target="mailto:ben.stokes@gmail.com" TargetMode="External"/><Relationship Id="rId13" Type="http://schemas.openxmlformats.org/officeDocument/2006/relationships/hyperlink" Target="mailto:shakib.hasan@gmail.com" TargetMode="External"/><Relationship Id="rId18" Type="http://schemas.openxmlformats.org/officeDocument/2006/relationships/hyperlink" Target="mailto:lasith.sri@gmail.com" TargetMode="External"/><Relationship Id="rId3" Type="http://schemas.openxmlformats.org/officeDocument/2006/relationships/hyperlink" Target="mailto:kane.new@gmail.com" TargetMode="External"/><Relationship Id="rId7" Type="http://schemas.openxmlformats.org/officeDocument/2006/relationships/hyperlink" Target="mailto:jasprit.bumrah@gmail.com" TargetMode="External"/><Relationship Id="rId12" Type="http://schemas.openxmlformats.org/officeDocument/2006/relationships/hyperlink" Target="mailto:faf.south@gmail.com" TargetMode="External"/><Relationship Id="rId17" Type="http://schemas.openxmlformats.org/officeDocument/2006/relationships/hyperlink" Target="mailto:mushfiqur.rahim@gmail.com" TargetMode="External"/><Relationship Id="rId2" Type="http://schemas.openxmlformats.org/officeDocument/2006/relationships/hyperlink" Target="mailto:steve.smith@gmail.com" TargetMode="External"/><Relationship Id="rId16" Type="http://schemas.openxmlformats.org/officeDocument/2006/relationships/hyperlink" Target="mailto:shai.west@gmail.com" TargetMode="External"/><Relationship Id="rId20" Type="http://schemas.openxmlformats.org/officeDocument/2006/relationships/hyperlink" Target="mailto:kagiso.south@gmail.com" TargetMode="External"/><Relationship Id="rId1" Type="http://schemas.openxmlformats.org/officeDocument/2006/relationships/hyperlink" Target="mailto:virat.kohli@gmail.com" TargetMode="External"/><Relationship Id="rId6" Type="http://schemas.openxmlformats.org/officeDocument/2006/relationships/hyperlink" Target="mailto:quinton.south@gmail.com" TargetMode="External"/><Relationship Id="rId11" Type="http://schemas.openxmlformats.org/officeDocument/2006/relationships/hyperlink" Target="mailto:ross.new@gmail.com" TargetMode="External"/><Relationship Id="rId5" Type="http://schemas.openxmlformats.org/officeDocument/2006/relationships/hyperlink" Target="mailto:babar.azam@gmail.com" TargetMode="External"/><Relationship Id="rId15" Type="http://schemas.openxmlformats.org/officeDocument/2006/relationships/hyperlink" Target="mailto:pat.cummins@gmail.com" TargetMode="External"/><Relationship Id="rId10" Type="http://schemas.openxmlformats.org/officeDocument/2006/relationships/hyperlink" Target="mailto:rashid.khan@gmail.com" TargetMode="External"/><Relationship Id="rId19" Type="http://schemas.openxmlformats.org/officeDocument/2006/relationships/hyperlink" Target="mailto:jason.west@gmail.com" TargetMode="External"/><Relationship Id="rId4" Type="http://schemas.openxmlformats.org/officeDocument/2006/relationships/hyperlink" Target="mailto:joe.root@gmail.com" TargetMode="External"/><Relationship Id="rId9" Type="http://schemas.openxmlformats.org/officeDocument/2006/relationships/hyperlink" Target="mailto:david.warner@gmail.com" TargetMode="External"/><Relationship Id="rId14" Type="http://schemas.openxmlformats.org/officeDocument/2006/relationships/hyperlink" Target="mailto:eoin.morgan@gmail.com"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mailto:virat.kohli@gmail.com" TargetMode="External"/><Relationship Id="rId1" Type="http://schemas.openxmlformats.org/officeDocument/2006/relationships/hyperlink" Target="mailto:virat.kohl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6"/>
  <sheetViews>
    <sheetView zoomScale="220" zoomScaleNormal="220" workbookViewId="0">
      <selection activeCell="C4" sqref="C4"/>
    </sheetView>
  </sheetViews>
  <sheetFormatPr defaultRowHeight="15" x14ac:dyDescent="0.25"/>
  <cols>
    <col min="1" max="6" width="8.85546875" customWidth="1"/>
  </cols>
  <sheetData>
    <row r="1" spans="1:2" ht="29.25" thickBot="1" x14ac:dyDescent="0.3">
      <c r="A1" s="1" t="s">
        <v>0</v>
      </c>
      <c r="B1" s="2" t="s">
        <v>1</v>
      </c>
    </row>
    <row r="2" spans="1:2" ht="15.75" thickBot="1" x14ac:dyDescent="0.3">
      <c r="A2" s="3" t="s">
        <v>2</v>
      </c>
      <c r="B2" s="4"/>
    </row>
    <row r="3" spans="1:2" ht="15.75" thickBot="1" x14ac:dyDescent="0.3">
      <c r="A3" s="5"/>
      <c r="B3" s="4" t="s">
        <v>3</v>
      </c>
    </row>
    <row r="4" spans="1:2" ht="29.25" thickBot="1" x14ac:dyDescent="0.3">
      <c r="A4" s="5"/>
      <c r="B4" s="4" t="s">
        <v>4</v>
      </c>
    </row>
    <row r="5" spans="1:2" ht="29.25" thickBot="1" x14ac:dyDescent="0.3">
      <c r="A5" s="5"/>
      <c r="B5" s="4" t="s">
        <v>5</v>
      </c>
    </row>
    <row r="6" spans="1:2" ht="43.5" thickBot="1" x14ac:dyDescent="0.3">
      <c r="A6" s="3" t="s">
        <v>6</v>
      </c>
      <c r="B6" s="4"/>
    </row>
    <row r="7" spans="1:2" ht="43.5" thickBot="1" x14ac:dyDescent="0.3">
      <c r="A7" s="5"/>
      <c r="B7" s="4" t="s">
        <v>6</v>
      </c>
    </row>
    <row r="8" spans="1:2" ht="29.25" thickBot="1" x14ac:dyDescent="0.3">
      <c r="A8" s="5"/>
      <c r="B8" s="4" t="s">
        <v>7</v>
      </c>
    </row>
    <row r="9" spans="1:2" ht="43.5" thickBot="1" x14ac:dyDescent="0.3">
      <c r="A9" s="3" t="s">
        <v>8</v>
      </c>
      <c r="B9" s="4"/>
    </row>
    <row r="10" spans="1:2" ht="43.5" thickBot="1" x14ac:dyDescent="0.3">
      <c r="A10" s="5"/>
      <c r="B10" s="4" t="s">
        <v>9</v>
      </c>
    </row>
    <row r="11" spans="1:2" ht="29.25" thickBot="1" x14ac:dyDescent="0.3">
      <c r="A11" s="5"/>
      <c r="B11" s="4" t="s">
        <v>10</v>
      </c>
    </row>
    <row r="12" spans="1:2" ht="15.75" thickBot="1" x14ac:dyDescent="0.3">
      <c r="A12" s="5"/>
      <c r="B12" s="4" t="s">
        <v>11</v>
      </c>
    </row>
    <row r="13" spans="1:2" ht="57.75" thickBot="1" x14ac:dyDescent="0.3">
      <c r="A13" s="5"/>
      <c r="B13" s="4" t="s">
        <v>12</v>
      </c>
    </row>
    <row r="14" spans="1:2" ht="29.25" thickBot="1" x14ac:dyDescent="0.3">
      <c r="A14" s="5"/>
      <c r="B14" s="4" t="s">
        <v>13</v>
      </c>
    </row>
    <row r="15" spans="1:2" ht="57.75" thickBot="1" x14ac:dyDescent="0.3">
      <c r="A15" s="5"/>
      <c r="B15" s="4" t="s">
        <v>14</v>
      </c>
    </row>
    <row r="16" spans="1:2" ht="29.25" thickBot="1" x14ac:dyDescent="0.3">
      <c r="A16" s="3" t="s">
        <v>15</v>
      </c>
      <c r="B16" s="4"/>
    </row>
    <row r="17" spans="1:2" ht="29.25" thickBot="1" x14ac:dyDescent="0.3">
      <c r="A17" s="5"/>
      <c r="B17" s="4" t="s">
        <v>15</v>
      </c>
    </row>
    <row r="18" spans="1:2" ht="43.5" thickBot="1" x14ac:dyDescent="0.3">
      <c r="A18" s="3" t="s">
        <v>16</v>
      </c>
      <c r="B18" s="4"/>
    </row>
    <row r="19" spans="1:2" ht="29.25" thickBot="1" x14ac:dyDescent="0.3">
      <c r="A19" s="5"/>
      <c r="B19" s="4" t="s">
        <v>17</v>
      </c>
    </row>
    <row r="20" spans="1:2" ht="57.75" thickBot="1" x14ac:dyDescent="0.3">
      <c r="A20" s="5"/>
      <c r="B20" s="4" t="s">
        <v>18</v>
      </c>
    </row>
    <row r="21" spans="1:2" ht="57.75" thickBot="1" x14ac:dyDescent="0.3">
      <c r="A21" s="3" t="s">
        <v>19</v>
      </c>
      <c r="B21" s="4"/>
    </row>
    <row r="22" spans="1:2" ht="29.25" thickBot="1" x14ac:dyDescent="0.3">
      <c r="A22" s="5"/>
      <c r="B22" s="4" t="s">
        <v>20</v>
      </c>
    </row>
    <row r="23" spans="1:2" ht="15.75" thickBot="1" x14ac:dyDescent="0.3">
      <c r="A23" s="5"/>
      <c r="B23" s="4" t="s">
        <v>21</v>
      </c>
    </row>
    <row r="24" spans="1:2" ht="72" thickBot="1" x14ac:dyDescent="0.3">
      <c r="A24" s="5"/>
      <c r="B24" s="4" t="s">
        <v>22</v>
      </c>
    </row>
    <row r="25" spans="1:2" ht="29.25" thickBot="1" x14ac:dyDescent="0.3">
      <c r="A25" s="3" t="s">
        <v>23</v>
      </c>
      <c r="B25" s="4"/>
    </row>
    <row r="26" spans="1:2" ht="29.25" thickBot="1" x14ac:dyDescent="0.3">
      <c r="A26" s="5"/>
      <c r="B26" s="4"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0BB4-4773-48E8-A19B-13E0486D006E}">
  <sheetPr codeName="Sheet2"/>
  <dimension ref="A1:F26"/>
  <sheetViews>
    <sheetView topLeftCell="B1" zoomScale="175" zoomScaleNormal="175" workbookViewId="0">
      <selection activeCell="C8" sqref="C8"/>
    </sheetView>
  </sheetViews>
  <sheetFormatPr defaultRowHeight="15" x14ac:dyDescent="0.25"/>
  <cols>
    <col min="1" max="1" width="23.42578125" bestFit="1" customWidth="1"/>
    <col min="2" max="2" width="29.140625" bestFit="1" customWidth="1"/>
    <col min="3" max="5" width="8.85546875" customWidth="1"/>
    <col min="6" max="6" width="39.28515625" bestFit="1" customWidth="1"/>
  </cols>
  <sheetData>
    <row r="1" spans="1:6" x14ac:dyDescent="0.25">
      <c r="A1" t="s">
        <v>0</v>
      </c>
      <c r="B1" t="s">
        <v>1</v>
      </c>
      <c r="F1" t="s">
        <v>183</v>
      </c>
    </row>
    <row r="2" spans="1:6" x14ac:dyDescent="0.25">
      <c r="A2" t="s">
        <v>2</v>
      </c>
      <c r="F2" t="s">
        <v>184</v>
      </c>
    </row>
    <row r="3" spans="1:6" x14ac:dyDescent="0.25">
      <c r="B3" t="s">
        <v>3</v>
      </c>
    </row>
    <row r="4" spans="1:6" x14ac:dyDescent="0.25">
      <c r="B4" t="s">
        <v>4</v>
      </c>
      <c r="F4" s="17" t="s">
        <v>189</v>
      </c>
    </row>
    <row r="5" spans="1:6" x14ac:dyDescent="0.25">
      <c r="B5" t="s">
        <v>5</v>
      </c>
      <c r="F5" s="18" t="s">
        <v>185</v>
      </c>
    </row>
    <row r="6" spans="1:6" x14ac:dyDescent="0.25">
      <c r="A6" t="s">
        <v>6</v>
      </c>
      <c r="F6" s="18" t="s">
        <v>186</v>
      </c>
    </row>
    <row r="7" spans="1:6" x14ac:dyDescent="0.25">
      <c r="B7" t="s">
        <v>6</v>
      </c>
      <c r="F7" s="18" t="s">
        <v>187</v>
      </c>
    </row>
    <row r="8" spans="1:6" x14ac:dyDescent="0.25">
      <c r="B8" t="s">
        <v>7</v>
      </c>
      <c r="F8" s="18" t="s">
        <v>188</v>
      </c>
    </row>
    <row r="9" spans="1:6" x14ac:dyDescent="0.25">
      <c r="A9" t="s">
        <v>8</v>
      </c>
    </row>
    <row r="10" spans="1:6" x14ac:dyDescent="0.25">
      <c r="B10" t="s">
        <v>9</v>
      </c>
    </row>
    <row r="11" spans="1:6" x14ac:dyDescent="0.25">
      <c r="B11" t="s">
        <v>10</v>
      </c>
    </row>
    <row r="12" spans="1:6" x14ac:dyDescent="0.25">
      <c r="B12" t="s">
        <v>11</v>
      </c>
    </row>
    <row r="13" spans="1:6" x14ac:dyDescent="0.25">
      <c r="B13" t="s">
        <v>12</v>
      </c>
    </row>
    <row r="14" spans="1:6" x14ac:dyDescent="0.25">
      <c r="B14" t="s">
        <v>13</v>
      </c>
    </row>
    <row r="15" spans="1:6" x14ac:dyDescent="0.25">
      <c r="B15" t="s">
        <v>14</v>
      </c>
    </row>
    <row r="16" spans="1:6" x14ac:dyDescent="0.25">
      <c r="A16" t="s">
        <v>15</v>
      </c>
    </row>
    <row r="17" spans="1:2" x14ac:dyDescent="0.25">
      <c r="B17" t="s">
        <v>15</v>
      </c>
    </row>
    <row r="18" spans="1:2" x14ac:dyDescent="0.25">
      <c r="A18" t="s">
        <v>16</v>
      </c>
    </row>
    <row r="19" spans="1:2" x14ac:dyDescent="0.25">
      <c r="B19" t="s">
        <v>17</v>
      </c>
    </row>
    <row r="20" spans="1:2" x14ac:dyDescent="0.25">
      <c r="B20" t="s">
        <v>18</v>
      </c>
    </row>
    <row r="21" spans="1:2" x14ac:dyDescent="0.25">
      <c r="A21" t="s">
        <v>19</v>
      </c>
    </row>
    <row r="22" spans="1:2" x14ac:dyDescent="0.25">
      <c r="B22" t="s">
        <v>20</v>
      </c>
    </row>
    <row r="23" spans="1:2" x14ac:dyDescent="0.25">
      <c r="B23" t="s">
        <v>21</v>
      </c>
    </row>
    <row r="24" spans="1:2" x14ac:dyDescent="0.25">
      <c r="B24" t="s">
        <v>22</v>
      </c>
    </row>
    <row r="25" spans="1:2" x14ac:dyDescent="0.25">
      <c r="A25" t="s">
        <v>23</v>
      </c>
    </row>
    <row r="26" spans="1:2" x14ac:dyDescent="0.25">
      <c r="B26"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6CBE-9EEB-472A-AFDA-998487B6F670}">
  <sheetPr codeName="Sheet3"/>
  <dimension ref="A1:E28"/>
  <sheetViews>
    <sheetView topLeftCell="A17" zoomScale="154" zoomScaleNormal="154" workbookViewId="0">
      <selection activeCell="E24" sqref="E24"/>
    </sheetView>
  </sheetViews>
  <sheetFormatPr defaultRowHeight="15" x14ac:dyDescent="0.25"/>
  <cols>
    <col min="1" max="1" width="27" bestFit="1" customWidth="1"/>
    <col min="2" max="2" width="10.28515625" bestFit="1" customWidth="1"/>
    <col min="5" max="5" width="24.5703125" bestFit="1" customWidth="1"/>
  </cols>
  <sheetData>
    <row r="1" spans="1:5" x14ac:dyDescent="0.25">
      <c r="A1" t="s">
        <v>1</v>
      </c>
      <c r="B1" t="s">
        <v>24</v>
      </c>
      <c r="E1" t="s">
        <v>190</v>
      </c>
    </row>
    <row r="2" spans="1:5" x14ac:dyDescent="0.25">
      <c r="E2" t="s">
        <v>191</v>
      </c>
    </row>
    <row r="3" spans="1:5" x14ac:dyDescent="0.25">
      <c r="A3" t="s">
        <v>3</v>
      </c>
      <c r="B3">
        <v>150000</v>
      </c>
    </row>
    <row r="4" spans="1:5" x14ac:dyDescent="0.25">
      <c r="A4" t="s">
        <v>4</v>
      </c>
      <c r="B4">
        <v>25000</v>
      </c>
      <c r="E4" t="s">
        <v>192</v>
      </c>
    </row>
    <row r="5" spans="1:5" x14ac:dyDescent="0.25">
      <c r="A5" t="s">
        <v>5</v>
      </c>
      <c r="B5">
        <v>5000</v>
      </c>
      <c r="D5">
        <v>1</v>
      </c>
      <c r="E5" t="s">
        <v>193</v>
      </c>
    </row>
    <row r="6" spans="1:5" x14ac:dyDescent="0.25">
      <c r="A6" t="s">
        <v>25</v>
      </c>
      <c r="B6" s="6">
        <f>SUM(B3:B5)</f>
        <v>180000</v>
      </c>
      <c r="D6">
        <v>2</v>
      </c>
      <c r="E6" t="s">
        <v>194</v>
      </c>
    </row>
    <row r="7" spans="1:5" x14ac:dyDescent="0.25">
      <c r="D7">
        <v>3</v>
      </c>
      <c r="E7" t="s">
        <v>195</v>
      </c>
    </row>
    <row r="8" spans="1:5" x14ac:dyDescent="0.25">
      <c r="A8" t="s">
        <v>6</v>
      </c>
      <c r="B8">
        <v>60000</v>
      </c>
    </row>
    <row r="9" spans="1:5" x14ac:dyDescent="0.25">
      <c r="A9" t="s">
        <v>26</v>
      </c>
      <c r="B9" s="6">
        <f>SUM(B8)</f>
        <v>60000</v>
      </c>
    </row>
    <row r="10" spans="1:5" x14ac:dyDescent="0.25">
      <c r="A10" t="s">
        <v>27</v>
      </c>
      <c r="B10" s="7">
        <f>B6-B9</f>
        <v>120000</v>
      </c>
    </row>
    <row r="12" spans="1:5" x14ac:dyDescent="0.25">
      <c r="A12" t="s">
        <v>9</v>
      </c>
      <c r="B12">
        <v>30000</v>
      </c>
    </row>
    <row r="13" spans="1:5" x14ac:dyDescent="0.25">
      <c r="A13" t="s">
        <v>10</v>
      </c>
      <c r="B13">
        <v>15000</v>
      </c>
    </row>
    <row r="14" spans="1:5" x14ac:dyDescent="0.25">
      <c r="A14" t="s">
        <v>11</v>
      </c>
      <c r="B14">
        <v>2000</v>
      </c>
    </row>
    <row r="15" spans="1:5" x14ac:dyDescent="0.25">
      <c r="A15" t="s">
        <v>12</v>
      </c>
      <c r="B15">
        <v>10000</v>
      </c>
    </row>
    <row r="16" spans="1:5" x14ac:dyDescent="0.25">
      <c r="A16" t="s">
        <v>13</v>
      </c>
    </row>
    <row r="17" spans="1:2" x14ac:dyDescent="0.25">
      <c r="A17" t="s">
        <v>14</v>
      </c>
      <c r="B17">
        <v>5000</v>
      </c>
    </row>
    <row r="18" spans="1:2" x14ac:dyDescent="0.25">
      <c r="A18" t="s">
        <v>20</v>
      </c>
      <c r="B18">
        <v>1500</v>
      </c>
    </row>
    <row r="19" spans="1:2" x14ac:dyDescent="0.25">
      <c r="A19" t="s">
        <v>21</v>
      </c>
      <c r="B19">
        <v>10000</v>
      </c>
    </row>
    <row r="20" spans="1:2" x14ac:dyDescent="0.25">
      <c r="A20" t="s">
        <v>22</v>
      </c>
      <c r="B20">
        <v>500</v>
      </c>
    </row>
    <row r="21" spans="1:2" x14ac:dyDescent="0.25">
      <c r="A21" t="s">
        <v>28</v>
      </c>
      <c r="B21" s="6">
        <f>SUM(B12:B20)</f>
        <v>74000</v>
      </c>
    </row>
    <row r="23" spans="1:2" x14ac:dyDescent="0.25">
      <c r="A23" t="s">
        <v>15</v>
      </c>
      <c r="B23">
        <v>50000</v>
      </c>
    </row>
    <row r="24" spans="1:2" x14ac:dyDescent="0.25">
      <c r="A24" t="s">
        <v>17</v>
      </c>
      <c r="B24">
        <v>2000</v>
      </c>
    </row>
    <row r="25" spans="1:2" x14ac:dyDescent="0.25">
      <c r="A25" t="s">
        <v>18</v>
      </c>
      <c r="B25">
        <v>1000</v>
      </c>
    </row>
    <row r="26" spans="1:2" x14ac:dyDescent="0.25">
      <c r="A26" t="s">
        <v>29</v>
      </c>
      <c r="B26" s="6">
        <f>SUM(B23:B25)</f>
        <v>53000</v>
      </c>
    </row>
    <row r="28" spans="1:2" x14ac:dyDescent="0.25">
      <c r="A28" t="s">
        <v>30</v>
      </c>
      <c r="B28" s="7">
        <f>+B10-B21+B26</f>
        <v>99000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7E18-C4CA-471A-BB9D-6ECB50A2B4E5}">
  <sheetPr codeName="Sheet4"/>
  <dimension ref="A1:B27"/>
  <sheetViews>
    <sheetView topLeftCell="A17" zoomScale="145" zoomScaleNormal="145" workbookViewId="0">
      <selection activeCell="B3" sqref="B3:B27"/>
    </sheetView>
  </sheetViews>
  <sheetFormatPr defaultRowHeight="15" x14ac:dyDescent="0.25"/>
  <cols>
    <col min="1" max="1" width="27" bestFit="1" customWidth="1"/>
    <col min="2" max="2" width="10.28515625" bestFit="1" customWidth="1"/>
  </cols>
  <sheetData>
    <row r="1" spans="1:2" x14ac:dyDescent="0.25">
      <c r="A1" t="s">
        <v>1</v>
      </c>
      <c r="B1" t="s">
        <v>24</v>
      </c>
    </row>
    <row r="3" spans="1:2" x14ac:dyDescent="0.25">
      <c r="A3" t="s">
        <v>3</v>
      </c>
      <c r="B3">
        <v>150000</v>
      </c>
    </row>
    <row r="4" spans="1:2" x14ac:dyDescent="0.25">
      <c r="A4" t="s">
        <v>4</v>
      </c>
      <c r="B4">
        <v>25000</v>
      </c>
    </row>
    <row r="5" spans="1:2" x14ac:dyDescent="0.25">
      <c r="A5" t="s">
        <v>5</v>
      </c>
      <c r="B5">
        <v>5000</v>
      </c>
    </row>
    <row r="6" spans="1:2" x14ac:dyDescent="0.25">
      <c r="A6" t="s">
        <v>25</v>
      </c>
      <c r="B6" s="6">
        <f>SUM(B3:B5)</f>
        <v>180000</v>
      </c>
    </row>
    <row r="8" spans="1:2" x14ac:dyDescent="0.25">
      <c r="A8" t="s">
        <v>6</v>
      </c>
      <c r="B8">
        <v>-60000</v>
      </c>
    </row>
    <row r="9" spans="1:2" x14ac:dyDescent="0.25">
      <c r="A9" t="s">
        <v>26</v>
      </c>
      <c r="B9" s="6">
        <f>SUM(B8)</f>
        <v>-60000</v>
      </c>
    </row>
    <row r="11" spans="1:2" x14ac:dyDescent="0.25">
      <c r="A11" t="s">
        <v>9</v>
      </c>
      <c r="B11">
        <v>-30000</v>
      </c>
    </row>
    <row r="12" spans="1:2" x14ac:dyDescent="0.25">
      <c r="A12" t="s">
        <v>10</v>
      </c>
      <c r="B12">
        <v>-15000</v>
      </c>
    </row>
    <row r="13" spans="1:2" x14ac:dyDescent="0.25">
      <c r="A13" t="s">
        <v>11</v>
      </c>
      <c r="B13">
        <v>-2000</v>
      </c>
    </row>
    <row r="14" spans="1:2" x14ac:dyDescent="0.25">
      <c r="A14" t="s">
        <v>12</v>
      </c>
      <c r="B14">
        <v>-10000</v>
      </c>
    </row>
    <row r="15" spans="1:2" x14ac:dyDescent="0.25">
      <c r="A15" t="s">
        <v>13</v>
      </c>
      <c r="B15">
        <v>-8000</v>
      </c>
    </row>
    <row r="16" spans="1:2" x14ac:dyDescent="0.25">
      <c r="A16" t="s">
        <v>14</v>
      </c>
      <c r="B16">
        <v>-5000</v>
      </c>
    </row>
    <row r="17" spans="1:2" x14ac:dyDescent="0.25">
      <c r="A17" t="s">
        <v>20</v>
      </c>
      <c r="B17">
        <v>-1500</v>
      </c>
    </row>
    <row r="18" spans="1:2" x14ac:dyDescent="0.25">
      <c r="A18" t="s">
        <v>21</v>
      </c>
      <c r="B18">
        <v>-10000</v>
      </c>
    </row>
    <row r="19" spans="1:2" x14ac:dyDescent="0.25">
      <c r="A19" t="s">
        <v>22</v>
      </c>
      <c r="B19">
        <v>-500</v>
      </c>
    </row>
    <row r="20" spans="1:2" x14ac:dyDescent="0.25">
      <c r="A20" t="s">
        <v>28</v>
      </c>
      <c r="B20" s="6">
        <f>SUM(B11:B19)</f>
        <v>-82000</v>
      </c>
    </row>
    <row r="22" spans="1:2" x14ac:dyDescent="0.25">
      <c r="A22" t="s">
        <v>15</v>
      </c>
      <c r="B22">
        <v>50000</v>
      </c>
    </row>
    <row r="23" spans="1:2" x14ac:dyDescent="0.25">
      <c r="A23" t="s">
        <v>17</v>
      </c>
      <c r="B23">
        <v>2000</v>
      </c>
    </row>
    <row r="24" spans="1:2" x14ac:dyDescent="0.25">
      <c r="A24" t="s">
        <v>18</v>
      </c>
      <c r="B24">
        <v>1000</v>
      </c>
    </row>
    <row r="25" spans="1:2" x14ac:dyDescent="0.25">
      <c r="A25" t="s">
        <v>29</v>
      </c>
      <c r="B25" s="6">
        <f>SUM(B22:B24)</f>
        <v>53000</v>
      </c>
    </row>
    <row r="27" spans="1:2" x14ac:dyDescent="0.25">
      <c r="A27" t="s">
        <v>23</v>
      </c>
      <c r="B27" s="7">
        <f>SUM(B25,B20,B9,B6)</f>
        <v>91000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D2AC-8A7E-4FD5-9CA0-2BB5DC5B55A8}">
  <sheetPr codeName="Sheet5"/>
  <dimension ref="A1:D26"/>
  <sheetViews>
    <sheetView zoomScale="130" zoomScaleNormal="130" workbookViewId="0">
      <selection activeCell="C16" sqref="C16"/>
    </sheetView>
  </sheetViews>
  <sheetFormatPr defaultRowHeight="15" x14ac:dyDescent="0.25"/>
  <cols>
    <col min="1" max="1" width="21.5703125" bestFit="1" customWidth="1"/>
    <col min="2" max="2" width="27" bestFit="1" customWidth="1"/>
    <col min="3" max="3" width="10.28515625" style="19" bestFit="1" customWidth="1"/>
    <col min="4" max="4" width="11.140625" bestFit="1" customWidth="1"/>
  </cols>
  <sheetData>
    <row r="1" spans="1:4" x14ac:dyDescent="0.25">
      <c r="A1" t="s">
        <v>0</v>
      </c>
      <c r="B1" t="s">
        <v>1</v>
      </c>
      <c r="C1" s="19" t="s">
        <v>35</v>
      </c>
      <c r="D1" t="s">
        <v>31</v>
      </c>
    </row>
    <row r="2" spans="1:4" x14ac:dyDescent="0.25">
      <c r="A2" t="s">
        <v>2</v>
      </c>
    </row>
    <row r="3" spans="1:4" x14ac:dyDescent="0.25">
      <c r="B3" t="s">
        <v>3</v>
      </c>
      <c r="C3" s="19">
        <v>150000</v>
      </c>
      <c r="D3" t="s">
        <v>32</v>
      </c>
    </row>
    <row r="4" spans="1:4" x14ac:dyDescent="0.25">
      <c r="B4" t="s">
        <v>4</v>
      </c>
      <c r="C4" s="19">
        <v>25000</v>
      </c>
      <c r="D4" t="s">
        <v>32</v>
      </c>
    </row>
    <row r="5" spans="1:4" x14ac:dyDescent="0.25">
      <c r="B5" t="s">
        <v>5</v>
      </c>
      <c r="C5" s="19">
        <v>5000</v>
      </c>
      <c r="D5" t="s">
        <v>32</v>
      </c>
    </row>
    <row r="7" spans="1:4" x14ac:dyDescent="0.25">
      <c r="A7" t="s">
        <v>6</v>
      </c>
    </row>
    <row r="8" spans="1:4" x14ac:dyDescent="0.25">
      <c r="B8" t="s">
        <v>6</v>
      </c>
      <c r="C8" s="19">
        <v>60000</v>
      </c>
      <c r="D8" t="s">
        <v>33</v>
      </c>
    </row>
    <row r="10" spans="1:4" x14ac:dyDescent="0.25">
      <c r="A10" t="s">
        <v>8</v>
      </c>
    </row>
    <row r="11" spans="1:4" x14ac:dyDescent="0.25">
      <c r="B11" t="s">
        <v>9</v>
      </c>
      <c r="C11" s="19">
        <v>30000</v>
      </c>
      <c r="D11" t="s">
        <v>33</v>
      </c>
    </row>
    <row r="12" spans="1:4" x14ac:dyDescent="0.25">
      <c r="B12" t="s">
        <v>10</v>
      </c>
      <c r="C12" s="19">
        <v>15000</v>
      </c>
      <c r="D12" t="s">
        <v>33</v>
      </c>
    </row>
    <row r="13" spans="1:4" x14ac:dyDescent="0.25">
      <c r="B13" t="s">
        <v>11</v>
      </c>
      <c r="C13" s="19">
        <v>2000</v>
      </c>
      <c r="D13" t="s">
        <v>33</v>
      </c>
    </row>
    <row r="14" spans="1:4" x14ac:dyDescent="0.25">
      <c r="B14" t="s">
        <v>12</v>
      </c>
      <c r="C14" s="19">
        <v>10000</v>
      </c>
      <c r="D14" t="s">
        <v>33</v>
      </c>
    </row>
    <row r="15" spans="1:4" x14ac:dyDescent="0.25">
      <c r="B15" t="s">
        <v>13</v>
      </c>
      <c r="C15" s="19">
        <v>8000</v>
      </c>
      <c r="D15" t="s">
        <v>33</v>
      </c>
    </row>
    <row r="16" spans="1:4" x14ac:dyDescent="0.25">
      <c r="B16" t="s">
        <v>14</v>
      </c>
      <c r="C16" s="19">
        <v>5000</v>
      </c>
      <c r="D16" t="s">
        <v>33</v>
      </c>
    </row>
    <row r="18" spans="1:4" x14ac:dyDescent="0.25">
      <c r="A18" t="s">
        <v>16</v>
      </c>
    </row>
    <row r="19" spans="1:4" x14ac:dyDescent="0.25">
      <c r="B19" t="s">
        <v>17</v>
      </c>
      <c r="C19" s="19">
        <v>2000</v>
      </c>
      <c r="D19" t="s">
        <v>32</v>
      </c>
    </row>
    <row r="20" spans="1:4" x14ac:dyDescent="0.25">
      <c r="B20" t="s">
        <v>18</v>
      </c>
      <c r="C20" s="19">
        <v>1000</v>
      </c>
      <c r="D20" t="s">
        <v>32</v>
      </c>
    </row>
    <row r="21" spans="1:4" x14ac:dyDescent="0.25">
      <c r="A21" t="s">
        <v>19</v>
      </c>
    </row>
    <row r="22" spans="1:4" x14ac:dyDescent="0.25">
      <c r="B22" t="s">
        <v>20</v>
      </c>
      <c r="C22" s="19">
        <v>1500</v>
      </c>
      <c r="D22" t="s">
        <v>33</v>
      </c>
    </row>
    <row r="23" spans="1:4" x14ac:dyDescent="0.25">
      <c r="B23" t="s">
        <v>21</v>
      </c>
      <c r="C23" s="19">
        <v>10000</v>
      </c>
      <c r="D23" t="s">
        <v>33</v>
      </c>
    </row>
    <row r="24" spans="1:4" x14ac:dyDescent="0.25">
      <c r="B24" t="s">
        <v>22</v>
      </c>
      <c r="C24" s="19">
        <v>500</v>
      </c>
      <c r="D24" t="s">
        <v>33</v>
      </c>
    </row>
    <row r="26" spans="1:4" x14ac:dyDescent="0.25">
      <c r="A26" t="s">
        <v>34</v>
      </c>
      <c r="C26" s="19">
        <f>SUMIFS(C3:C25,D3:D25,"Cr")</f>
        <v>183000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4BEE-B0B2-402C-A2A9-377A369330BC}">
  <sheetPr codeName="Sheet6"/>
  <dimension ref="A1:D26"/>
  <sheetViews>
    <sheetView workbookViewId="0">
      <selection activeCell="C26" sqref="C26"/>
    </sheetView>
  </sheetViews>
  <sheetFormatPr defaultRowHeight="15" x14ac:dyDescent="0.25"/>
  <cols>
    <col min="1" max="1" width="21.5703125" bestFit="1" customWidth="1"/>
    <col min="2" max="2" width="27" bestFit="1" customWidth="1"/>
    <col min="3" max="3" width="10.28515625" bestFit="1" customWidth="1"/>
    <col min="4" max="4" width="11.140625" bestFit="1" customWidth="1"/>
  </cols>
  <sheetData>
    <row r="1" spans="1:4" x14ac:dyDescent="0.25">
      <c r="A1" t="s">
        <v>0</v>
      </c>
      <c r="B1" t="s">
        <v>1</v>
      </c>
      <c r="C1" t="s">
        <v>35</v>
      </c>
      <c r="D1" t="s">
        <v>31</v>
      </c>
    </row>
    <row r="2" spans="1:4" x14ac:dyDescent="0.25">
      <c r="A2" t="s">
        <v>2</v>
      </c>
    </row>
    <row r="3" spans="1:4" x14ac:dyDescent="0.25">
      <c r="B3" t="s">
        <v>3</v>
      </c>
      <c r="C3" s="8">
        <v>150000</v>
      </c>
      <c r="D3" t="s">
        <v>32</v>
      </c>
    </row>
    <row r="4" spans="1:4" x14ac:dyDescent="0.25">
      <c r="B4" t="s">
        <v>4</v>
      </c>
      <c r="C4" s="8">
        <v>25000</v>
      </c>
      <c r="D4" t="s">
        <v>32</v>
      </c>
    </row>
    <row r="5" spans="1:4" x14ac:dyDescent="0.25">
      <c r="B5" t="s">
        <v>5</v>
      </c>
      <c r="C5" s="8">
        <v>5000</v>
      </c>
      <c r="D5" t="s">
        <v>32</v>
      </c>
    </row>
    <row r="7" spans="1:4" x14ac:dyDescent="0.25">
      <c r="A7" t="s">
        <v>6</v>
      </c>
    </row>
    <row r="8" spans="1:4" x14ac:dyDescent="0.25">
      <c r="B8" t="s">
        <v>6</v>
      </c>
      <c r="C8" s="8">
        <v>60000</v>
      </c>
      <c r="D8" t="s">
        <v>33</v>
      </c>
    </row>
    <row r="10" spans="1:4" x14ac:dyDescent="0.25">
      <c r="A10" t="s">
        <v>8</v>
      </c>
    </row>
    <row r="11" spans="1:4" x14ac:dyDescent="0.25">
      <c r="B11" t="s">
        <v>9</v>
      </c>
      <c r="C11" s="8">
        <v>30000</v>
      </c>
      <c r="D11" t="s">
        <v>33</v>
      </c>
    </row>
    <row r="12" spans="1:4" x14ac:dyDescent="0.25">
      <c r="B12" t="s">
        <v>10</v>
      </c>
      <c r="C12" s="8">
        <v>15000</v>
      </c>
      <c r="D12" t="s">
        <v>33</v>
      </c>
    </row>
    <row r="13" spans="1:4" x14ac:dyDescent="0.25">
      <c r="B13" t="s">
        <v>11</v>
      </c>
      <c r="C13" s="8">
        <v>2000</v>
      </c>
      <c r="D13" t="s">
        <v>33</v>
      </c>
    </row>
    <row r="14" spans="1:4" x14ac:dyDescent="0.25">
      <c r="B14" t="s">
        <v>12</v>
      </c>
      <c r="C14" s="8">
        <v>10000</v>
      </c>
      <c r="D14" t="s">
        <v>33</v>
      </c>
    </row>
    <row r="15" spans="1:4" x14ac:dyDescent="0.25">
      <c r="B15" t="s">
        <v>13</v>
      </c>
      <c r="C15" s="8">
        <v>8000</v>
      </c>
      <c r="D15" t="s">
        <v>33</v>
      </c>
    </row>
    <row r="16" spans="1:4" x14ac:dyDescent="0.25">
      <c r="B16" t="s">
        <v>14</v>
      </c>
      <c r="C16" s="8">
        <v>5000</v>
      </c>
      <c r="D16" t="s">
        <v>33</v>
      </c>
    </row>
    <row r="18" spans="1:4" x14ac:dyDescent="0.25">
      <c r="A18" t="s">
        <v>16</v>
      </c>
    </row>
    <row r="19" spans="1:4" x14ac:dyDescent="0.25">
      <c r="B19" t="s">
        <v>17</v>
      </c>
      <c r="C19" s="8">
        <v>2000</v>
      </c>
      <c r="D19" t="s">
        <v>32</v>
      </c>
    </row>
    <row r="20" spans="1:4" x14ac:dyDescent="0.25">
      <c r="B20" t="s">
        <v>18</v>
      </c>
      <c r="C20" s="8">
        <v>1000</v>
      </c>
      <c r="D20" t="s">
        <v>32</v>
      </c>
    </row>
    <row r="21" spans="1:4" x14ac:dyDescent="0.25">
      <c r="A21" t="s">
        <v>19</v>
      </c>
    </row>
    <row r="22" spans="1:4" x14ac:dyDescent="0.25">
      <c r="B22" t="s">
        <v>20</v>
      </c>
      <c r="C22" s="8">
        <v>1500</v>
      </c>
      <c r="D22" t="s">
        <v>33</v>
      </c>
    </row>
    <row r="23" spans="1:4" x14ac:dyDescent="0.25">
      <c r="B23" t="s">
        <v>21</v>
      </c>
      <c r="C23" s="8">
        <v>10000</v>
      </c>
      <c r="D23" t="s">
        <v>33</v>
      </c>
    </row>
    <row r="24" spans="1:4" x14ac:dyDescent="0.25">
      <c r="B24" t="s">
        <v>22</v>
      </c>
      <c r="C24">
        <v>500</v>
      </c>
      <c r="D24" t="s">
        <v>33</v>
      </c>
    </row>
    <row r="26" spans="1:4" x14ac:dyDescent="0.25">
      <c r="A26" t="s">
        <v>34</v>
      </c>
      <c r="C2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0913-03DB-4BDC-BE04-35311E3D514A}">
  <sheetPr codeName="Sheet7"/>
  <dimension ref="A1:F21"/>
  <sheetViews>
    <sheetView topLeftCell="A13" zoomScale="175" zoomScaleNormal="175" workbookViewId="0">
      <selection activeCell="D2" sqref="D2"/>
    </sheetView>
  </sheetViews>
  <sheetFormatPr defaultRowHeight="15" x14ac:dyDescent="0.25"/>
  <cols>
    <col min="1" max="1" width="14.140625" bestFit="1" customWidth="1"/>
    <col min="2" max="2" width="12.140625" bestFit="1" customWidth="1"/>
    <col min="3" max="3" width="14.85546875" customWidth="1"/>
  </cols>
  <sheetData>
    <row r="1" spans="1:6" x14ac:dyDescent="0.25">
      <c r="A1" t="s">
        <v>36</v>
      </c>
      <c r="B1" t="s">
        <v>37</v>
      </c>
      <c r="C1" t="s">
        <v>38</v>
      </c>
      <c r="D1" t="s">
        <v>60</v>
      </c>
      <c r="F1" t="s">
        <v>196</v>
      </c>
    </row>
    <row r="2" spans="1:6" x14ac:dyDescent="0.25">
      <c r="A2" t="s">
        <v>39</v>
      </c>
      <c r="B2">
        <v>500000</v>
      </c>
      <c r="C2">
        <v>550000</v>
      </c>
      <c r="D2" s="20">
        <f>(C2-B2)/C2</f>
        <v>9.0909090909090912E-2</v>
      </c>
      <c r="F2" t="s">
        <v>197</v>
      </c>
    </row>
    <row r="3" spans="1:6" x14ac:dyDescent="0.25">
      <c r="A3" t="s">
        <v>40</v>
      </c>
      <c r="B3">
        <v>450000</v>
      </c>
      <c r="C3">
        <v>480000</v>
      </c>
      <c r="D3" s="20">
        <f t="shared" ref="D3:D21" si="0">(C3-B3)/C3</f>
        <v>6.25E-2</v>
      </c>
      <c r="F3" t="s">
        <v>198</v>
      </c>
    </row>
    <row r="4" spans="1:6" x14ac:dyDescent="0.25">
      <c r="A4" t="s">
        <v>41</v>
      </c>
      <c r="B4">
        <v>300000</v>
      </c>
      <c r="C4">
        <v>320000</v>
      </c>
      <c r="D4" s="20">
        <f t="shared" si="0"/>
        <v>6.25E-2</v>
      </c>
      <c r="F4" t="s">
        <v>199</v>
      </c>
    </row>
    <row r="5" spans="1:6" x14ac:dyDescent="0.25">
      <c r="A5" t="s">
        <v>42</v>
      </c>
      <c r="B5">
        <v>280000</v>
      </c>
      <c r="C5">
        <v>290000</v>
      </c>
      <c r="D5" s="20">
        <f t="shared" si="0"/>
        <v>3.4482758620689655E-2</v>
      </c>
    </row>
    <row r="6" spans="1:6" x14ac:dyDescent="0.25">
      <c r="A6" t="s">
        <v>43</v>
      </c>
      <c r="B6">
        <v>260000</v>
      </c>
      <c r="C6">
        <v>270000</v>
      </c>
      <c r="D6" s="20">
        <f t="shared" si="0"/>
        <v>3.7037037037037035E-2</v>
      </c>
    </row>
    <row r="7" spans="1:6" x14ac:dyDescent="0.25">
      <c r="A7" t="s">
        <v>44</v>
      </c>
      <c r="B7">
        <v>240000</v>
      </c>
      <c r="C7">
        <v>255000</v>
      </c>
      <c r="D7" s="20">
        <f t="shared" si="0"/>
        <v>5.8823529411764705E-2</v>
      </c>
      <c r="F7" t="s">
        <v>200</v>
      </c>
    </row>
    <row r="8" spans="1:6" x14ac:dyDescent="0.25">
      <c r="A8" t="s">
        <v>45</v>
      </c>
      <c r="B8">
        <v>200000</v>
      </c>
      <c r="C8">
        <v>220000</v>
      </c>
      <c r="D8" s="20">
        <f t="shared" si="0"/>
        <v>9.0909090909090912E-2</v>
      </c>
      <c r="F8" t="s">
        <v>201</v>
      </c>
    </row>
    <row r="9" spans="1:6" x14ac:dyDescent="0.25">
      <c r="A9" t="s">
        <v>46</v>
      </c>
      <c r="B9">
        <v>180000</v>
      </c>
      <c r="C9">
        <v>190000</v>
      </c>
      <c r="D9" s="20">
        <f t="shared" si="0"/>
        <v>5.2631578947368418E-2</v>
      </c>
    </row>
    <row r="10" spans="1:6" x14ac:dyDescent="0.25">
      <c r="A10" t="s">
        <v>47</v>
      </c>
      <c r="B10">
        <v>170000</v>
      </c>
      <c r="C10">
        <v>185000</v>
      </c>
      <c r="D10" s="20">
        <f t="shared" si="0"/>
        <v>8.1081081081081086E-2</v>
      </c>
    </row>
    <row r="11" spans="1:6" x14ac:dyDescent="0.25">
      <c r="A11" t="s">
        <v>48</v>
      </c>
      <c r="B11">
        <v>160000</v>
      </c>
      <c r="C11">
        <v>170000</v>
      </c>
      <c r="D11" s="20">
        <f t="shared" si="0"/>
        <v>5.8823529411764705E-2</v>
      </c>
    </row>
    <row r="12" spans="1:6" x14ac:dyDescent="0.25">
      <c r="A12" t="s">
        <v>49</v>
      </c>
      <c r="B12">
        <v>150000</v>
      </c>
      <c r="C12">
        <v>160000</v>
      </c>
      <c r="D12" s="20">
        <f t="shared" si="0"/>
        <v>6.25E-2</v>
      </c>
    </row>
    <row r="13" spans="1:6" x14ac:dyDescent="0.25">
      <c r="A13" t="s">
        <v>50</v>
      </c>
      <c r="B13">
        <v>140000</v>
      </c>
      <c r="C13">
        <v>155000</v>
      </c>
      <c r="D13" s="20">
        <f t="shared" si="0"/>
        <v>9.6774193548387094E-2</v>
      </c>
    </row>
    <row r="14" spans="1:6" x14ac:dyDescent="0.25">
      <c r="A14" t="s">
        <v>51</v>
      </c>
      <c r="B14">
        <v>130000</v>
      </c>
      <c r="C14">
        <v>145000</v>
      </c>
      <c r="D14" s="20">
        <f t="shared" si="0"/>
        <v>0.10344827586206896</v>
      </c>
    </row>
    <row r="15" spans="1:6" x14ac:dyDescent="0.25">
      <c r="A15" t="s">
        <v>52</v>
      </c>
      <c r="B15">
        <v>120000</v>
      </c>
      <c r="C15">
        <v>130000</v>
      </c>
      <c r="D15" s="20">
        <f t="shared" si="0"/>
        <v>7.6923076923076927E-2</v>
      </c>
    </row>
    <row r="16" spans="1:6" x14ac:dyDescent="0.25">
      <c r="A16" t="s">
        <v>53</v>
      </c>
      <c r="B16">
        <v>110000</v>
      </c>
      <c r="C16">
        <v>120000</v>
      </c>
      <c r="D16" s="20">
        <f t="shared" si="0"/>
        <v>8.3333333333333329E-2</v>
      </c>
    </row>
    <row r="17" spans="1:4" x14ac:dyDescent="0.25">
      <c r="A17" t="s">
        <v>54</v>
      </c>
      <c r="B17">
        <v>100000</v>
      </c>
      <c r="C17">
        <v>110000</v>
      </c>
      <c r="D17" s="20">
        <f t="shared" si="0"/>
        <v>9.0909090909090912E-2</v>
      </c>
    </row>
    <row r="18" spans="1:4" x14ac:dyDescent="0.25">
      <c r="A18" t="s">
        <v>55</v>
      </c>
      <c r="B18">
        <v>95000</v>
      </c>
      <c r="C18">
        <v>105000</v>
      </c>
      <c r="D18" s="20">
        <f t="shared" si="0"/>
        <v>9.5238095238095233E-2</v>
      </c>
    </row>
    <row r="19" spans="1:4" x14ac:dyDescent="0.25">
      <c r="A19" t="s">
        <v>56</v>
      </c>
      <c r="B19">
        <v>90000</v>
      </c>
      <c r="C19">
        <v>100000</v>
      </c>
      <c r="D19" s="20">
        <f t="shared" si="0"/>
        <v>0.1</v>
      </c>
    </row>
    <row r="20" spans="1:4" x14ac:dyDescent="0.25">
      <c r="A20" t="s">
        <v>57</v>
      </c>
      <c r="B20">
        <v>85000</v>
      </c>
      <c r="C20">
        <v>95000</v>
      </c>
      <c r="D20" s="20">
        <f t="shared" si="0"/>
        <v>0.10526315789473684</v>
      </c>
    </row>
    <row r="21" spans="1:4" x14ac:dyDescent="0.25">
      <c r="A21" t="s">
        <v>58</v>
      </c>
      <c r="B21">
        <v>80000</v>
      </c>
      <c r="C21">
        <v>90000</v>
      </c>
      <c r="D21" s="20">
        <f t="shared" si="0"/>
        <v>0.1111111111111111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1E40-50C7-48D9-8857-F87D2872348B}">
  <sheetPr codeName="Sheet8"/>
  <dimension ref="A1:F21"/>
  <sheetViews>
    <sheetView zoomScale="160" zoomScaleNormal="160" workbookViewId="0">
      <selection activeCell="F2" sqref="F2"/>
    </sheetView>
  </sheetViews>
  <sheetFormatPr defaultRowHeight="15" x14ac:dyDescent="0.25"/>
  <cols>
    <col min="1" max="1" width="14.140625" bestFit="1" customWidth="1"/>
    <col min="2" max="2" width="12.140625" bestFit="1" customWidth="1"/>
    <col min="3" max="3" width="14.85546875" customWidth="1"/>
    <col min="5" max="5" width="16.140625" bestFit="1" customWidth="1"/>
  </cols>
  <sheetData>
    <row r="1" spans="1:6" x14ac:dyDescent="0.25">
      <c r="A1" t="s">
        <v>36</v>
      </c>
      <c r="B1" t="s">
        <v>37</v>
      </c>
      <c r="C1" t="s">
        <v>38</v>
      </c>
    </row>
    <row r="2" spans="1:6" x14ac:dyDescent="0.25">
      <c r="A2" t="s">
        <v>39</v>
      </c>
      <c r="B2">
        <v>500000</v>
      </c>
      <c r="C2">
        <v>550000</v>
      </c>
      <c r="E2" t="s">
        <v>61</v>
      </c>
      <c r="F2" s="20">
        <f>AVERAGE('007 - Calculate change %'!D2:D21)</f>
        <v>7.7759901557389391E-2</v>
      </c>
    </row>
    <row r="3" spans="1:6" x14ac:dyDescent="0.25">
      <c r="A3" t="s">
        <v>40</v>
      </c>
      <c r="B3">
        <v>450000</v>
      </c>
      <c r="C3">
        <v>480000</v>
      </c>
    </row>
    <row r="4" spans="1:6" x14ac:dyDescent="0.25">
      <c r="A4" t="s">
        <v>41</v>
      </c>
      <c r="B4">
        <v>300000</v>
      </c>
      <c r="C4">
        <v>320000</v>
      </c>
    </row>
    <row r="5" spans="1:6" x14ac:dyDescent="0.25">
      <c r="A5" t="s">
        <v>42</v>
      </c>
      <c r="B5">
        <v>280000</v>
      </c>
      <c r="C5">
        <v>290000</v>
      </c>
    </row>
    <row r="6" spans="1:6" x14ac:dyDescent="0.25">
      <c r="A6" t="s">
        <v>43</v>
      </c>
      <c r="B6">
        <v>260000</v>
      </c>
      <c r="C6">
        <v>270000</v>
      </c>
    </row>
    <row r="7" spans="1:6" x14ac:dyDescent="0.25">
      <c r="A7" t="s">
        <v>44</v>
      </c>
      <c r="B7">
        <v>240000</v>
      </c>
      <c r="C7">
        <v>255000</v>
      </c>
    </row>
    <row r="8" spans="1:6" x14ac:dyDescent="0.25">
      <c r="A8" t="s">
        <v>45</v>
      </c>
      <c r="B8">
        <v>200000</v>
      </c>
      <c r="C8">
        <v>220000</v>
      </c>
    </row>
    <row r="9" spans="1:6" x14ac:dyDescent="0.25">
      <c r="A9" t="s">
        <v>46</v>
      </c>
      <c r="B9">
        <v>180000</v>
      </c>
      <c r="C9">
        <v>190000</v>
      </c>
    </row>
    <row r="10" spans="1:6" x14ac:dyDescent="0.25">
      <c r="A10" t="s">
        <v>47</v>
      </c>
      <c r="B10">
        <v>170000</v>
      </c>
      <c r="C10">
        <v>185000</v>
      </c>
    </row>
    <row r="11" spans="1:6" x14ac:dyDescent="0.25">
      <c r="A11" t="s">
        <v>48</v>
      </c>
      <c r="B11">
        <v>160000</v>
      </c>
      <c r="C11">
        <v>170000</v>
      </c>
    </row>
    <row r="12" spans="1:6" x14ac:dyDescent="0.25">
      <c r="A12" t="s">
        <v>49</v>
      </c>
      <c r="B12">
        <v>150000</v>
      </c>
      <c r="C12">
        <v>160000</v>
      </c>
    </row>
    <row r="13" spans="1:6" x14ac:dyDescent="0.25">
      <c r="A13" t="s">
        <v>50</v>
      </c>
      <c r="B13">
        <v>140000</v>
      </c>
      <c r="C13">
        <v>155000</v>
      </c>
    </row>
    <row r="14" spans="1:6" x14ac:dyDescent="0.25">
      <c r="A14" t="s">
        <v>51</v>
      </c>
      <c r="B14">
        <v>130000</v>
      </c>
      <c r="C14">
        <v>145000</v>
      </c>
    </row>
    <row r="15" spans="1:6" x14ac:dyDescent="0.25">
      <c r="A15" t="s">
        <v>52</v>
      </c>
      <c r="B15">
        <v>120000</v>
      </c>
      <c r="C15">
        <v>130000</v>
      </c>
    </row>
    <row r="16" spans="1:6" x14ac:dyDescent="0.25">
      <c r="A16" t="s">
        <v>53</v>
      </c>
      <c r="B16">
        <v>110000</v>
      </c>
      <c r="C16">
        <v>120000</v>
      </c>
    </row>
    <row r="17" spans="1:3" x14ac:dyDescent="0.25">
      <c r="A17" t="s">
        <v>54</v>
      </c>
      <c r="B17">
        <v>100000</v>
      </c>
      <c r="C17">
        <v>110000</v>
      </c>
    </row>
    <row r="18" spans="1:3" x14ac:dyDescent="0.25">
      <c r="A18" t="s">
        <v>55</v>
      </c>
      <c r="B18">
        <v>95000</v>
      </c>
      <c r="C18">
        <v>105000</v>
      </c>
    </row>
    <row r="19" spans="1:3" x14ac:dyDescent="0.25">
      <c r="A19" t="s">
        <v>56</v>
      </c>
      <c r="B19">
        <v>90000</v>
      </c>
      <c r="C19">
        <v>100000</v>
      </c>
    </row>
    <row r="20" spans="1:3" x14ac:dyDescent="0.25">
      <c r="A20" t="s">
        <v>57</v>
      </c>
      <c r="B20">
        <v>85000</v>
      </c>
      <c r="C20">
        <v>95000</v>
      </c>
    </row>
    <row r="21" spans="1:3" x14ac:dyDescent="0.25">
      <c r="A21" t="s">
        <v>58</v>
      </c>
      <c r="B21">
        <v>80000</v>
      </c>
      <c r="C21">
        <v>90000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28FC-2C54-40DC-A593-9949D9DCF6B3}">
  <sheetPr codeName="Sheet9"/>
  <dimension ref="A1:E21"/>
  <sheetViews>
    <sheetView zoomScale="130" zoomScaleNormal="130" workbookViewId="0">
      <selection activeCell="E2" sqref="E2"/>
    </sheetView>
  </sheetViews>
  <sheetFormatPr defaultRowHeight="15" x14ac:dyDescent="0.25"/>
  <cols>
    <col min="1" max="1" width="14.140625" bestFit="1" customWidth="1"/>
    <col min="2" max="2" width="12.140625" bestFit="1" customWidth="1"/>
    <col min="3" max="3" width="14.85546875" customWidth="1"/>
    <col min="5" max="5" width="16.140625" bestFit="1" customWidth="1"/>
  </cols>
  <sheetData>
    <row r="1" spans="1:5" x14ac:dyDescent="0.25">
      <c r="A1" t="s">
        <v>36</v>
      </c>
      <c r="B1" t="s">
        <v>37</v>
      </c>
      <c r="C1" t="s">
        <v>38</v>
      </c>
    </row>
    <row r="2" spans="1:5" x14ac:dyDescent="0.25">
      <c r="A2" t="s">
        <v>48</v>
      </c>
      <c r="B2">
        <v>160000</v>
      </c>
      <c r="C2">
        <v>170000</v>
      </c>
      <c r="E2" t="s">
        <v>202</v>
      </c>
    </row>
    <row r="3" spans="1:5" x14ac:dyDescent="0.25">
      <c r="A3" t="s">
        <v>46</v>
      </c>
      <c r="B3">
        <v>180000</v>
      </c>
      <c r="C3">
        <v>190000</v>
      </c>
    </row>
    <row r="4" spans="1:5" x14ac:dyDescent="0.25">
      <c r="A4" t="s">
        <v>47</v>
      </c>
      <c r="B4">
        <v>170000</v>
      </c>
      <c r="C4">
        <v>185000</v>
      </c>
    </row>
    <row r="5" spans="1:5" x14ac:dyDescent="0.25">
      <c r="A5" t="s">
        <v>40</v>
      </c>
      <c r="B5">
        <v>450000</v>
      </c>
      <c r="C5">
        <v>480000</v>
      </c>
    </row>
    <row r="6" spans="1:5" x14ac:dyDescent="0.25">
      <c r="A6" t="s">
        <v>44</v>
      </c>
      <c r="B6">
        <v>240000</v>
      </c>
      <c r="C6">
        <v>255000</v>
      </c>
    </row>
    <row r="7" spans="1:5" x14ac:dyDescent="0.25">
      <c r="A7" t="s">
        <v>42</v>
      </c>
      <c r="B7">
        <v>280000</v>
      </c>
      <c r="C7">
        <v>290000</v>
      </c>
    </row>
    <row r="8" spans="1:5" x14ac:dyDescent="0.25">
      <c r="A8" t="s">
        <v>45</v>
      </c>
      <c r="B8">
        <v>200000</v>
      </c>
      <c r="C8">
        <v>220000</v>
      </c>
    </row>
    <row r="9" spans="1:5" x14ac:dyDescent="0.25">
      <c r="A9" t="s">
        <v>50</v>
      </c>
      <c r="B9">
        <v>140000</v>
      </c>
      <c r="C9">
        <v>155000</v>
      </c>
    </row>
    <row r="10" spans="1:5" x14ac:dyDescent="0.25">
      <c r="A10" t="s">
        <v>41</v>
      </c>
      <c r="B10">
        <v>300000</v>
      </c>
      <c r="C10">
        <v>320000</v>
      </c>
    </row>
    <row r="11" spans="1:5" x14ac:dyDescent="0.25">
      <c r="A11" t="s">
        <v>52</v>
      </c>
      <c r="B11">
        <v>120000</v>
      </c>
      <c r="C11">
        <v>130000</v>
      </c>
    </row>
    <row r="12" spans="1:5" x14ac:dyDescent="0.25">
      <c r="A12" t="s">
        <v>53</v>
      </c>
      <c r="B12">
        <v>110000</v>
      </c>
      <c r="C12">
        <v>120000</v>
      </c>
    </row>
    <row r="13" spans="1:5" x14ac:dyDescent="0.25">
      <c r="A13" t="s">
        <v>56</v>
      </c>
      <c r="B13">
        <v>90000</v>
      </c>
      <c r="C13">
        <v>100000</v>
      </c>
    </row>
    <row r="14" spans="1:5" x14ac:dyDescent="0.25">
      <c r="A14" t="s">
        <v>58</v>
      </c>
      <c r="B14">
        <v>80000</v>
      </c>
      <c r="C14">
        <v>90000</v>
      </c>
    </row>
    <row r="15" spans="1:5" x14ac:dyDescent="0.25">
      <c r="A15" t="s">
        <v>49</v>
      </c>
      <c r="B15">
        <v>150000</v>
      </c>
      <c r="C15">
        <v>160000</v>
      </c>
    </row>
    <row r="16" spans="1:5" x14ac:dyDescent="0.25">
      <c r="A16" t="s">
        <v>51</v>
      </c>
      <c r="B16">
        <v>130000</v>
      </c>
      <c r="C16">
        <v>145000</v>
      </c>
    </row>
    <row r="17" spans="1:3" x14ac:dyDescent="0.25">
      <c r="A17" t="s">
        <v>57</v>
      </c>
      <c r="B17">
        <v>85000</v>
      </c>
      <c r="C17">
        <v>95000</v>
      </c>
    </row>
    <row r="18" spans="1:3" x14ac:dyDescent="0.25">
      <c r="A18" t="s">
        <v>55</v>
      </c>
      <c r="B18">
        <v>95000</v>
      </c>
      <c r="C18">
        <v>105000</v>
      </c>
    </row>
    <row r="19" spans="1:3" x14ac:dyDescent="0.25">
      <c r="A19" t="s">
        <v>54</v>
      </c>
      <c r="B19">
        <v>100000</v>
      </c>
      <c r="C19">
        <v>110000</v>
      </c>
    </row>
    <row r="20" spans="1:3" x14ac:dyDescent="0.25">
      <c r="A20" t="s">
        <v>43</v>
      </c>
      <c r="B20">
        <v>260000</v>
      </c>
      <c r="C20">
        <v>270000</v>
      </c>
    </row>
    <row r="21" spans="1:3" x14ac:dyDescent="0.25">
      <c r="A21" t="s">
        <v>39</v>
      </c>
      <c r="B21">
        <v>500000</v>
      </c>
      <c r="C21">
        <v>550000</v>
      </c>
    </row>
  </sheetData>
  <sortState xmlns:xlrd2="http://schemas.microsoft.com/office/spreadsheetml/2017/richdata2" ref="A2:C21">
    <sortCondition ref="A2:A2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5C87A-E070-4445-A2E1-91DFC32D2A77}">
  <sheetPr codeName="Sheet10"/>
  <dimension ref="A1:F21"/>
  <sheetViews>
    <sheetView zoomScale="160" zoomScaleNormal="160" workbookViewId="0">
      <selection activeCell="D3" sqref="D3"/>
    </sheetView>
  </sheetViews>
  <sheetFormatPr defaultRowHeight="15" x14ac:dyDescent="0.25"/>
  <cols>
    <col min="1" max="1" width="14.140625" bestFit="1" customWidth="1"/>
    <col min="2" max="2" width="12.140625" bestFit="1" customWidth="1"/>
    <col min="3" max="3" width="14.85546875" customWidth="1"/>
    <col min="5" max="5" width="16.140625" bestFit="1" customWidth="1"/>
  </cols>
  <sheetData>
    <row r="1" spans="1:6" x14ac:dyDescent="0.25">
      <c r="A1" t="s">
        <v>36</v>
      </c>
      <c r="B1" t="s">
        <v>37</v>
      </c>
      <c r="C1" t="s">
        <v>38</v>
      </c>
      <c r="F1" t="s">
        <v>62</v>
      </c>
    </row>
    <row r="2" spans="1:6" x14ac:dyDescent="0.25">
      <c r="A2" t="s">
        <v>39</v>
      </c>
      <c r="B2">
        <v>500000</v>
      </c>
      <c r="C2">
        <v>550000</v>
      </c>
      <c r="D2" s="7" t="str">
        <f>IF((C2-B2)/C2&lt;=7%,"Stable","Growth")</f>
        <v>Growth</v>
      </c>
    </row>
    <row r="3" spans="1:6" x14ac:dyDescent="0.25">
      <c r="A3" t="s">
        <v>40</v>
      </c>
      <c r="B3">
        <v>450000</v>
      </c>
      <c r="C3">
        <v>480000</v>
      </c>
      <c r="D3" s="7" t="str">
        <f t="shared" ref="D3:D21" si="0">IF((C3-B3)/C3&lt;=7%,"Stable","Growth")</f>
        <v>Stable</v>
      </c>
    </row>
    <row r="4" spans="1:6" x14ac:dyDescent="0.25">
      <c r="A4" t="s">
        <v>41</v>
      </c>
      <c r="B4">
        <v>300000</v>
      </c>
      <c r="C4">
        <v>320000</v>
      </c>
      <c r="D4" s="7" t="str">
        <f t="shared" si="0"/>
        <v>Stable</v>
      </c>
    </row>
    <row r="5" spans="1:6" x14ac:dyDescent="0.25">
      <c r="A5" t="s">
        <v>42</v>
      </c>
      <c r="B5">
        <v>280000</v>
      </c>
      <c r="C5">
        <v>290000</v>
      </c>
      <c r="D5" s="7" t="str">
        <f t="shared" si="0"/>
        <v>Stable</v>
      </c>
    </row>
    <row r="6" spans="1:6" x14ac:dyDescent="0.25">
      <c r="A6" t="s">
        <v>43</v>
      </c>
      <c r="B6">
        <v>260000</v>
      </c>
      <c r="C6">
        <v>270000</v>
      </c>
      <c r="D6" s="7" t="str">
        <f t="shared" si="0"/>
        <v>Stable</v>
      </c>
    </row>
    <row r="7" spans="1:6" x14ac:dyDescent="0.25">
      <c r="A7" t="s">
        <v>44</v>
      </c>
      <c r="B7">
        <v>240000</v>
      </c>
      <c r="C7">
        <v>255000</v>
      </c>
      <c r="D7" s="7" t="str">
        <f t="shared" si="0"/>
        <v>Stable</v>
      </c>
    </row>
    <row r="8" spans="1:6" x14ac:dyDescent="0.25">
      <c r="A8" t="s">
        <v>45</v>
      </c>
      <c r="B8">
        <v>200000</v>
      </c>
      <c r="C8">
        <v>220000</v>
      </c>
      <c r="D8" s="7" t="str">
        <f t="shared" si="0"/>
        <v>Growth</v>
      </c>
    </row>
    <row r="9" spans="1:6" x14ac:dyDescent="0.25">
      <c r="A9" t="s">
        <v>46</v>
      </c>
      <c r="B9">
        <v>180000</v>
      </c>
      <c r="C9">
        <v>190000</v>
      </c>
      <c r="D9" s="7" t="str">
        <f t="shared" si="0"/>
        <v>Stable</v>
      </c>
    </row>
    <row r="10" spans="1:6" x14ac:dyDescent="0.25">
      <c r="A10" t="s">
        <v>47</v>
      </c>
      <c r="B10">
        <v>170000</v>
      </c>
      <c r="C10">
        <v>185000</v>
      </c>
      <c r="D10" s="7" t="str">
        <f t="shared" si="0"/>
        <v>Growth</v>
      </c>
    </row>
    <row r="11" spans="1:6" x14ac:dyDescent="0.25">
      <c r="A11" t="s">
        <v>48</v>
      </c>
      <c r="B11">
        <v>160000</v>
      </c>
      <c r="C11">
        <v>170000</v>
      </c>
      <c r="D11" s="7" t="str">
        <f t="shared" si="0"/>
        <v>Stable</v>
      </c>
    </row>
    <row r="12" spans="1:6" x14ac:dyDescent="0.25">
      <c r="A12" t="s">
        <v>49</v>
      </c>
      <c r="B12">
        <v>150000</v>
      </c>
      <c r="C12">
        <v>160000</v>
      </c>
      <c r="D12" s="7" t="str">
        <f t="shared" si="0"/>
        <v>Stable</v>
      </c>
    </row>
    <row r="13" spans="1:6" x14ac:dyDescent="0.25">
      <c r="A13" t="s">
        <v>50</v>
      </c>
      <c r="B13">
        <v>140000</v>
      </c>
      <c r="C13">
        <v>155000</v>
      </c>
      <c r="D13" s="7" t="str">
        <f t="shared" si="0"/>
        <v>Growth</v>
      </c>
    </row>
    <row r="14" spans="1:6" x14ac:dyDescent="0.25">
      <c r="A14" t="s">
        <v>51</v>
      </c>
      <c r="B14">
        <v>130000</v>
      </c>
      <c r="C14">
        <v>145000</v>
      </c>
      <c r="D14" s="7" t="str">
        <f t="shared" si="0"/>
        <v>Growth</v>
      </c>
    </row>
    <row r="15" spans="1:6" x14ac:dyDescent="0.25">
      <c r="A15" t="s">
        <v>52</v>
      </c>
      <c r="B15">
        <v>120000</v>
      </c>
      <c r="C15">
        <v>130000</v>
      </c>
      <c r="D15" s="7" t="str">
        <f t="shared" si="0"/>
        <v>Growth</v>
      </c>
    </row>
    <row r="16" spans="1:6" x14ac:dyDescent="0.25">
      <c r="A16" t="s">
        <v>53</v>
      </c>
      <c r="B16">
        <v>110000</v>
      </c>
      <c r="C16">
        <v>120000</v>
      </c>
      <c r="D16" s="7" t="str">
        <f t="shared" si="0"/>
        <v>Growth</v>
      </c>
    </row>
    <row r="17" spans="1:4" x14ac:dyDescent="0.25">
      <c r="A17" t="s">
        <v>54</v>
      </c>
      <c r="B17">
        <v>100000</v>
      </c>
      <c r="C17">
        <v>110000</v>
      </c>
      <c r="D17" s="7" t="str">
        <f t="shared" si="0"/>
        <v>Growth</v>
      </c>
    </row>
    <row r="18" spans="1:4" x14ac:dyDescent="0.25">
      <c r="A18" t="s">
        <v>55</v>
      </c>
      <c r="B18">
        <v>95000</v>
      </c>
      <c r="C18">
        <v>105000</v>
      </c>
      <c r="D18" s="7" t="str">
        <f t="shared" si="0"/>
        <v>Growth</v>
      </c>
    </row>
    <row r="19" spans="1:4" x14ac:dyDescent="0.25">
      <c r="A19" t="s">
        <v>56</v>
      </c>
      <c r="B19">
        <v>90000</v>
      </c>
      <c r="C19">
        <v>100000</v>
      </c>
      <c r="D19" s="7" t="str">
        <f t="shared" si="0"/>
        <v>Growth</v>
      </c>
    </row>
    <row r="20" spans="1:4" x14ac:dyDescent="0.25">
      <c r="A20" t="s">
        <v>57</v>
      </c>
      <c r="B20">
        <v>85000</v>
      </c>
      <c r="C20">
        <v>95000</v>
      </c>
      <c r="D20" s="7" t="str">
        <f t="shared" si="0"/>
        <v>Growth</v>
      </c>
    </row>
    <row r="21" spans="1:4" x14ac:dyDescent="0.25">
      <c r="A21" t="s">
        <v>58</v>
      </c>
      <c r="B21">
        <v>80000</v>
      </c>
      <c r="C21">
        <v>90000</v>
      </c>
      <c r="D21" s="7" t="str">
        <f t="shared" si="0"/>
        <v>Growth</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F671D-D7A1-49F5-8D99-FE1F8F1D2C10}">
  <sheetPr codeName="Sheet11"/>
  <dimension ref="A1:F21"/>
  <sheetViews>
    <sheetView zoomScale="130" zoomScaleNormal="130" workbookViewId="0">
      <selection activeCell="H12" sqref="H12"/>
    </sheetView>
  </sheetViews>
  <sheetFormatPr defaultRowHeight="15" x14ac:dyDescent="0.25"/>
  <cols>
    <col min="1" max="1" width="14.140625" bestFit="1" customWidth="1"/>
    <col min="2" max="2" width="12.140625" bestFit="1" customWidth="1"/>
    <col min="3" max="3" width="14.85546875" customWidth="1"/>
    <col min="5" max="5" width="16.140625" bestFit="1" customWidth="1"/>
  </cols>
  <sheetData>
    <row r="1" spans="1:6" x14ac:dyDescent="0.25">
      <c r="A1" t="s">
        <v>36</v>
      </c>
      <c r="B1" t="s">
        <v>37</v>
      </c>
      <c r="C1" t="s">
        <v>38</v>
      </c>
      <c r="D1" t="s">
        <v>65</v>
      </c>
    </row>
    <row r="2" spans="1:6" x14ac:dyDescent="0.25">
      <c r="A2" t="s">
        <v>47</v>
      </c>
      <c r="B2">
        <v>170000</v>
      </c>
      <c r="C2">
        <v>185000</v>
      </c>
      <c r="D2" t="s">
        <v>63</v>
      </c>
      <c r="F2" t="s">
        <v>203</v>
      </c>
    </row>
    <row r="3" spans="1:6" x14ac:dyDescent="0.25">
      <c r="A3" t="s">
        <v>45</v>
      </c>
      <c r="B3">
        <v>200000</v>
      </c>
      <c r="C3">
        <v>220000</v>
      </c>
      <c r="D3" t="s">
        <v>63</v>
      </c>
    </row>
    <row r="4" spans="1:6" x14ac:dyDescent="0.25">
      <c r="A4" t="s">
        <v>50</v>
      </c>
      <c r="B4">
        <v>140000</v>
      </c>
      <c r="C4">
        <v>155000</v>
      </c>
      <c r="D4" t="s">
        <v>63</v>
      </c>
    </row>
    <row r="5" spans="1:6" x14ac:dyDescent="0.25">
      <c r="A5" t="s">
        <v>52</v>
      </c>
      <c r="B5">
        <v>120000</v>
      </c>
      <c r="C5">
        <v>130000</v>
      </c>
      <c r="D5" t="s">
        <v>63</v>
      </c>
    </row>
    <row r="6" spans="1:6" x14ac:dyDescent="0.25">
      <c r="A6" t="s">
        <v>53</v>
      </c>
      <c r="B6">
        <v>110000</v>
      </c>
      <c r="C6">
        <v>120000</v>
      </c>
      <c r="D6" t="s">
        <v>63</v>
      </c>
    </row>
    <row r="7" spans="1:6" x14ac:dyDescent="0.25">
      <c r="A7" t="s">
        <v>56</v>
      </c>
      <c r="B7">
        <v>90000</v>
      </c>
      <c r="C7">
        <v>100000</v>
      </c>
      <c r="D7" t="s">
        <v>63</v>
      </c>
    </row>
    <row r="8" spans="1:6" x14ac:dyDescent="0.25">
      <c r="A8" t="s">
        <v>58</v>
      </c>
      <c r="B8">
        <v>80000</v>
      </c>
      <c r="C8">
        <v>90000</v>
      </c>
      <c r="D8" t="s">
        <v>63</v>
      </c>
    </row>
    <row r="9" spans="1:6" x14ac:dyDescent="0.25">
      <c r="A9" t="s">
        <v>51</v>
      </c>
      <c r="B9">
        <v>130000</v>
      </c>
      <c r="C9">
        <v>145000</v>
      </c>
      <c r="D9" t="s">
        <v>63</v>
      </c>
    </row>
    <row r="10" spans="1:6" x14ac:dyDescent="0.25">
      <c r="A10" t="s">
        <v>57</v>
      </c>
      <c r="B10">
        <v>85000</v>
      </c>
      <c r="C10">
        <v>95000</v>
      </c>
      <c r="D10" t="s">
        <v>63</v>
      </c>
    </row>
    <row r="11" spans="1:6" x14ac:dyDescent="0.25">
      <c r="A11" t="s">
        <v>55</v>
      </c>
      <c r="B11">
        <v>95000</v>
      </c>
      <c r="C11">
        <v>105000</v>
      </c>
      <c r="D11" t="s">
        <v>63</v>
      </c>
    </row>
    <row r="12" spans="1:6" x14ac:dyDescent="0.25">
      <c r="A12" t="s">
        <v>54</v>
      </c>
      <c r="B12">
        <v>100000</v>
      </c>
      <c r="C12">
        <v>110000</v>
      </c>
      <c r="D12" t="s">
        <v>63</v>
      </c>
    </row>
    <row r="13" spans="1:6" x14ac:dyDescent="0.25">
      <c r="A13" t="s">
        <v>39</v>
      </c>
      <c r="B13">
        <v>500000</v>
      </c>
      <c r="C13">
        <v>550000</v>
      </c>
      <c r="D13" t="s">
        <v>63</v>
      </c>
    </row>
    <row r="14" spans="1:6" x14ac:dyDescent="0.25">
      <c r="A14" t="s">
        <v>48</v>
      </c>
      <c r="B14">
        <v>160000</v>
      </c>
      <c r="C14">
        <v>170000</v>
      </c>
      <c r="D14" t="s">
        <v>64</v>
      </c>
    </row>
    <row r="15" spans="1:6" x14ac:dyDescent="0.25">
      <c r="A15" t="s">
        <v>46</v>
      </c>
      <c r="B15">
        <v>180000</v>
      </c>
      <c r="C15">
        <v>190000</v>
      </c>
      <c r="D15" t="s">
        <v>64</v>
      </c>
    </row>
    <row r="16" spans="1:6" x14ac:dyDescent="0.25">
      <c r="A16" t="s">
        <v>40</v>
      </c>
      <c r="B16">
        <v>450000</v>
      </c>
      <c r="C16">
        <v>480000</v>
      </c>
      <c r="D16" t="s">
        <v>64</v>
      </c>
    </row>
    <row r="17" spans="1:4" x14ac:dyDescent="0.25">
      <c r="A17" t="s">
        <v>44</v>
      </c>
      <c r="B17">
        <v>240000</v>
      </c>
      <c r="C17">
        <v>255000</v>
      </c>
      <c r="D17" t="s">
        <v>64</v>
      </c>
    </row>
    <row r="18" spans="1:4" x14ac:dyDescent="0.25">
      <c r="A18" t="s">
        <v>42</v>
      </c>
      <c r="B18">
        <v>280000</v>
      </c>
      <c r="C18">
        <v>290000</v>
      </c>
      <c r="D18" t="s">
        <v>64</v>
      </c>
    </row>
    <row r="19" spans="1:4" x14ac:dyDescent="0.25">
      <c r="A19" t="s">
        <v>41</v>
      </c>
      <c r="B19">
        <v>300000</v>
      </c>
      <c r="C19">
        <v>320000</v>
      </c>
      <c r="D19" t="s">
        <v>64</v>
      </c>
    </row>
    <row r="20" spans="1:4" x14ac:dyDescent="0.25">
      <c r="A20" t="s">
        <v>49</v>
      </c>
      <c r="B20">
        <v>150000</v>
      </c>
      <c r="C20">
        <v>160000</v>
      </c>
      <c r="D20" t="s">
        <v>64</v>
      </c>
    </row>
    <row r="21" spans="1:4" x14ac:dyDescent="0.25">
      <c r="A21" t="s">
        <v>43</v>
      </c>
      <c r="B21">
        <v>260000</v>
      </c>
      <c r="C21">
        <v>270000</v>
      </c>
      <c r="D21" t="s">
        <v>64</v>
      </c>
    </row>
  </sheetData>
  <sortState xmlns:xlrd2="http://schemas.microsoft.com/office/spreadsheetml/2017/richdata2" ref="A2:D21">
    <sortCondition ref="D2:D21"/>
    <sortCondition ref="A2:A21"/>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EB81-D4BE-4C27-BB11-68AC62876698}">
  <sheetPr codeName="Sheet12"/>
  <dimension ref="A1:D21"/>
  <sheetViews>
    <sheetView zoomScale="130" zoomScaleNormal="130" workbookViewId="0">
      <selection activeCell="D16" sqref="D16"/>
    </sheetView>
  </sheetViews>
  <sheetFormatPr defaultRowHeight="15" x14ac:dyDescent="0.25"/>
  <cols>
    <col min="1" max="1" width="14.140625" bestFit="1" customWidth="1"/>
    <col min="2" max="2" width="12.140625" bestFit="1" customWidth="1"/>
    <col min="3" max="3" width="12.42578125" bestFit="1" customWidth="1"/>
    <col min="5" max="5" width="16.140625" bestFit="1" customWidth="1"/>
  </cols>
  <sheetData>
    <row r="1" spans="1:4" x14ac:dyDescent="0.25">
      <c r="A1" t="s">
        <v>36</v>
      </c>
      <c r="B1" t="s">
        <v>37</v>
      </c>
      <c r="C1" t="s">
        <v>38</v>
      </c>
      <c r="D1" t="s">
        <v>65</v>
      </c>
    </row>
    <row r="2" spans="1:4" x14ac:dyDescent="0.25">
      <c r="A2" t="s">
        <v>39</v>
      </c>
      <c r="B2">
        <v>500000</v>
      </c>
      <c r="C2">
        <v>550000</v>
      </c>
      <c r="D2" t="s">
        <v>63</v>
      </c>
    </row>
    <row r="3" spans="1:4" x14ac:dyDescent="0.25">
      <c r="A3" t="s">
        <v>40</v>
      </c>
      <c r="B3">
        <v>450000</v>
      </c>
      <c r="C3">
        <v>480000</v>
      </c>
      <c r="D3" t="s">
        <v>64</v>
      </c>
    </row>
    <row r="4" spans="1:4" x14ac:dyDescent="0.25">
      <c r="A4" t="s">
        <v>41</v>
      </c>
      <c r="B4">
        <v>300000</v>
      </c>
      <c r="C4">
        <v>320000</v>
      </c>
      <c r="D4" t="s">
        <v>64</v>
      </c>
    </row>
    <row r="5" spans="1:4" x14ac:dyDescent="0.25">
      <c r="A5" t="s">
        <v>42</v>
      </c>
      <c r="B5">
        <v>280000</v>
      </c>
      <c r="C5">
        <v>290000</v>
      </c>
      <c r="D5" t="s">
        <v>64</v>
      </c>
    </row>
    <row r="6" spans="1:4" x14ac:dyDescent="0.25">
      <c r="A6" t="s">
        <v>43</v>
      </c>
      <c r="B6">
        <v>260000</v>
      </c>
      <c r="C6">
        <v>270000</v>
      </c>
      <c r="D6" t="s">
        <v>64</v>
      </c>
    </row>
    <row r="7" spans="1:4" x14ac:dyDescent="0.25">
      <c r="A7" t="s">
        <v>44</v>
      </c>
      <c r="B7">
        <v>240000</v>
      </c>
      <c r="C7">
        <v>255000</v>
      </c>
      <c r="D7" t="s">
        <v>64</v>
      </c>
    </row>
    <row r="8" spans="1:4" x14ac:dyDescent="0.25">
      <c r="A8" t="s">
        <v>45</v>
      </c>
      <c r="B8">
        <v>200000</v>
      </c>
      <c r="C8">
        <v>220000</v>
      </c>
      <c r="D8" t="s">
        <v>63</v>
      </c>
    </row>
    <row r="9" spans="1:4" x14ac:dyDescent="0.25">
      <c r="A9" t="s">
        <v>46</v>
      </c>
      <c r="B9">
        <v>180000</v>
      </c>
      <c r="C9">
        <v>190000</v>
      </c>
      <c r="D9" t="s">
        <v>64</v>
      </c>
    </row>
    <row r="10" spans="1:4" x14ac:dyDescent="0.25">
      <c r="A10" t="s">
        <v>47</v>
      </c>
      <c r="B10">
        <v>170000</v>
      </c>
      <c r="C10">
        <v>185000</v>
      </c>
      <c r="D10" t="s">
        <v>63</v>
      </c>
    </row>
    <row r="11" spans="1:4" x14ac:dyDescent="0.25">
      <c r="A11" t="s">
        <v>48</v>
      </c>
      <c r="B11">
        <v>160000</v>
      </c>
      <c r="C11">
        <v>170000</v>
      </c>
      <c r="D11" t="s">
        <v>64</v>
      </c>
    </row>
    <row r="12" spans="1:4" x14ac:dyDescent="0.25">
      <c r="A12" t="s">
        <v>49</v>
      </c>
      <c r="B12">
        <v>150000</v>
      </c>
      <c r="C12">
        <v>160000</v>
      </c>
      <c r="D12" t="s">
        <v>64</v>
      </c>
    </row>
    <row r="13" spans="1:4" x14ac:dyDescent="0.25">
      <c r="A13" t="s">
        <v>50</v>
      </c>
      <c r="B13">
        <v>140000</v>
      </c>
      <c r="C13">
        <v>155000</v>
      </c>
      <c r="D13" t="s">
        <v>63</v>
      </c>
    </row>
    <row r="14" spans="1:4" x14ac:dyDescent="0.25">
      <c r="A14" t="s">
        <v>51</v>
      </c>
      <c r="B14">
        <v>130000</v>
      </c>
      <c r="C14">
        <v>145000</v>
      </c>
      <c r="D14" t="s">
        <v>63</v>
      </c>
    </row>
    <row r="15" spans="1:4" x14ac:dyDescent="0.25">
      <c r="A15" t="s">
        <v>52</v>
      </c>
      <c r="B15">
        <v>120000</v>
      </c>
      <c r="C15">
        <v>130000</v>
      </c>
      <c r="D15" t="s">
        <v>63</v>
      </c>
    </row>
    <row r="16" spans="1:4" x14ac:dyDescent="0.25">
      <c r="A16" t="s">
        <v>53</v>
      </c>
      <c r="B16">
        <v>110000</v>
      </c>
      <c r="C16">
        <v>120000</v>
      </c>
      <c r="D16" t="s">
        <v>63</v>
      </c>
    </row>
    <row r="17" spans="1:4" x14ac:dyDescent="0.25">
      <c r="A17" t="s">
        <v>54</v>
      </c>
      <c r="B17">
        <v>100000</v>
      </c>
      <c r="C17">
        <v>110000</v>
      </c>
      <c r="D17" t="s">
        <v>63</v>
      </c>
    </row>
    <row r="18" spans="1:4" x14ac:dyDescent="0.25">
      <c r="A18" t="s">
        <v>55</v>
      </c>
      <c r="B18">
        <v>95000</v>
      </c>
      <c r="C18">
        <v>105000</v>
      </c>
      <c r="D18" t="s">
        <v>63</v>
      </c>
    </row>
    <row r="19" spans="1:4" x14ac:dyDescent="0.25">
      <c r="A19" t="s">
        <v>56</v>
      </c>
      <c r="B19">
        <v>90000</v>
      </c>
      <c r="C19">
        <v>100000</v>
      </c>
      <c r="D19" t="s">
        <v>63</v>
      </c>
    </row>
    <row r="20" spans="1:4" x14ac:dyDescent="0.25">
      <c r="A20" t="s">
        <v>57</v>
      </c>
      <c r="B20">
        <v>85000</v>
      </c>
      <c r="C20">
        <v>95000</v>
      </c>
      <c r="D20" t="s">
        <v>63</v>
      </c>
    </row>
    <row r="21" spans="1:4" x14ac:dyDescent="0.25">
      <c r="A21" t="s">
        <v>58</v>
      </c>
      <c r="B21">
        <v>80000</v>
      </c>
      <c r="C21">
        <v>90000</v>
      </c>
      <c r="D21" t="s">
        <v>63</v>
      </c>
    </row>
  </sheetData>
  <conditionalFormatting sqref="D2:D21">
    <cfRule type="cellIs" dxfId="8" priority="1" operator="equal">
      <formula>"Growth"</formula>
    </cfRule>
    <cfRule type="cellIs" dxfId="7" priority="2" operator="equal">
      <formula>"Stable"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F0C7-22B3-4AD0-886D-A8F71CA02600}">
  <dimension ref="A1:G21"/>
  <sheetViews>
    <sheetView zoomScale="175" zoomScaleNormal="175" workbookViewId="0">
      <selection activeCell="D8" sqref="D8"/>
    </sheetView>
  </sheetViews>
  <sheetFormatPr defaultRowHeight="15" x14ac:dyDescent="0.25"/>
  <cols>
    <col min="1" max="1" width="14.140625" bestFit="1" customWidth="1"/>
    <col min="2" max="2" width="12.140625" bestFit="1" customWidth="1"/>
    <col min="3" max="3" width="12.42578125" bestFit="1" customWidth="1"/>
    <col min="5" max="5" width="16.140625" bestFit="1" customWidth="1"/>
  </cols>
  <sheetData>
    <row r="1" spans="1:7" x14ac:dyDescent="0.25">
      <c r="A1" t="s">
        <v>36</v>
      </c>
      <c r="B1" t="s">
        <v>37</v>
      </c>
      <c r="C1" t="s">
        <v>38</v>
      </c>
      <c r="D1" t="s">
        <v>65</v>
      </c>
      <c r="F1" t="s">
        <v>205</v>
      </c>
      <c r="G1" t="s">
        <v>206</v>
      </c>
    </row>
    <row r="2" spans="1:7" x14ac:dyDescent="0.25">
      <c r="A2" t="s">
        <v>42</v>
      </c>
      <c r="B2">
        <v>280000</v>
      </c>
      <c r="C2">
        <v>290000</v>
      </c>
      <c r="D2" t="str">
        <f>IF((C2-B2)/B2&lt;=4%,"Decline",IF((C2-B2)/B2&lt;=7%,"Stable","Growth"))</f>
        <v>Decline</v>
      </c>
      <c r="F2" t="s">
        <v>207</v>
      </c>
      <c r="G2" t="s">
        <v>64</v>
      </c>
    </row>
    <row r="3" spans="1:7" x14ac:dyDescent="0.25">
      <c r="A3" t="s">
        <v>43</v>
      </c>
      <c r="B3">
        <v>260000</v>
      </c>
      <c r="C3">
        <v>270000</v>
      </c>
      <c r="D3" t="str">
        <f>IF((C3-B3)/B3&lt;=4%,"Decline",IF((C3-B3)/B3&lt;=7%,"Stable","Growth"))</f>
        <v>Decline</v>
      </c>
      <c r="F3" t="s">
        <v>204</v>
      </c>
      <c r="G3" t="s">
        <v>63</v>
      </c>
    </row>
    <row r="4" spans="1:7" x14ac:dyDescent="0.25">
      <c r="A4" t="s">
        <v>40</v>
      </c>
      <c r="B4">
        <v>450000</v>
      </c>
      <c r="C4">
        <v>480000</v>
      </c>
      <c r="D4" t="str">
        <f>IF((C4-B4)/B4&lt;=4%,"Decline",IF((C4-B4)/B4&lt;=7%,"Stable","Growth"))</f>
        <v>Stable</v>
      </c>
    </row>
    <row r="5" spans="1:7" x14ac:dyDescent="0.25">
      <c r="A5" t="s">
        <v>41</v>
      </c>
      <c r="B5">
        <v>300000</v>
      </c>
      <c r="C5">
        <v>320000</v>
      </c>
      <c r="D5" t="str">
        <f>IF((C5-B5)/B5&lt;=4%,"Decline",IF((C5-B5)/B5&lt;=7%,"Stable","Growth"))</f>
        <v>Stable</v>
      </c>
      <c r="F5" t="s">
        <v>206</v>
      </c>
    </row>
    <row r="6" spans="1:7" x14ac:dyDescent="0.25">
      <c r="A6" t="s">
        <v>44</v>
      </c>
      <c r="B6">
        <v>240000</v>
      </c>
      <c r="C6">
        <v>255000</v>
      </c>
      <c r="D6" t="str">
        <f>IF((C6-B6)/B6&lt;=4%,"Decline",IF((C6-B6)/B6&lt;=7%,"Stable","Growth"))</f>
        <v>Stable</v>
      </c>
      <c r="F6" t="s">
        <v>64</v>
      </c>
    </row>
    <row r="7" spans="1:7" x14ac:dyDescent="0.25">
      <c r="A7" t="s">
        <v>46</v>
      </c>
      <c r="B7">
        <v>180000</v>
      </c>
      <c r="C7">
        <v>190000</v>
      </c>
      <c r="D7" t="str">
        <f>IF((C7-B7)/B7&lt;=4%,"Decline",IF((C7-B7)/B7&lt;=7%,"Stable","Growth"))</f>
        <v>Stable</v>
      </c>
      <c r="F7" t="s">
        <v>63</v>
      </c>
    </row>
    <row r="8" spans="1:7" x14ac:dyDescent="0.25">
      <c r="A8" t="s">
        <v>48</v>
      </c>
      <c r="B8">
        <v>160000</v>
      </c>
      <c r="C8">
        <v>170000</v>
      </c>
      <c r="D8" t="str">
        <f>IF((C8-B8)/B8&lt;=4%,"Decline",IF((C8-B8)/B8&lt;=7%,"Stable","Growth"))</f>
        <v>Stable</v>
      </c>
    </row>
    <row r="9" spans="1:7" x14ac:dyDescent="0.25">
      <c r="A9" t="s">
        <v>49</v>
      </c>
      <c r="B9">
        <v>150000</v>
      </c>
      <c r="C9">
        <v>160000</v>
      </c>
      <c r="D9" t="str">
        <f>IF((C9-B9)/B9&lt;=4%,"Decline",IF((C9-B9)/B9&lt;=7%,"Stable","Growth"))</f>
        <v>Stable</v>
      </c>
    </row>
    <row r="10" spans="1:7" x14ac:dyDescent="0.25">
      <c r="A10" t="s">
        <v>39</v>
      </c>
      <c r="B10">
        <v>500000</v>
      </c>
      <c r="C10">
        <v>550000</v>
      </c>
      <c r="D10" t="str">
        <f>IF((C10-B10)/B10&lt;=4%,"Decline",IF((C10-B10)/B10&lt;=7%,"Stable","Growth"))</f>
        <v>Growth</v>
      </c>
    </row>
    <row r="11" spans="1:7" x14ac:dyDescent="0.25">
      <c r="A11" t="s">
        <v>45</v>
      </c>
      <c r="B11">
        <v>200000</v>
      </c>
      <c r="C11">
        <v>220000</v>
      </c>
      <c r="D11" t="str">
        <f>IF((C11-B11)/B11&lt;=4%,"Decline",IF((C11-B11)/B11&lt;=7%,"Stable","Growth"))</f>
        <v>Growth</v>
      </c>
    </row>
    <row r="12" spans="1:7" x14ac:dyDescent="0.25">
      <c r="A12" t="s">
        <v>47</v>
      </c>
      <c r="B12">
        <v>170000</v>
      </c>
      <c r="C12">
        <v>185000</v>
      </c>
      <c r="D12" t="str">
        <f>IF((C12-B12)/B12&lt;=4%,"Decline",IF((C12-B12)/B12&lt;=7%,"Stable","Growth"))</f>
        <v>Growth</v>
      </c>
    </row>
    <row r="13" spans="1:7" x14ac:dyDescent="0.25">
      <c r="A13" t="s">
        <v>50</v>
      </c>
      <c r="B13">
        <v>140000</v>
      </c>
      <c r="C13">
        <v>155000</v>
      </c>
      <c r="D13" t="str">
        <f>IF((C13-B13)/B13&lt;=4%,"Decline",IF((C13-B13)/B13&lt;=7%,"Stable","Growth"))</f>
        <v>Growth</v>
      </c>
    </row>
    <row r="14" spans="1:7" x14ac:dyDescent="0.25">
      <c r="A14" t="s">
        <v>51</v>
      </c>
      <c r="B14">
        <v>130000</v>
      </c>
      <c r="C14">
        <v>145000</v>
      </c>
      <c r="D14" t="str">
        <f>IF((C14-B14)/B14&lt;=4%,"Decline",IF((C14-B14)/B14&lt;=7%,"Stable","Growth"))</f>
        <v>Growth</v>
      </c>
    </row>
    <row r="15" spans="1:7" x14ac:dyDescent="0.25">
      <c r="A15" t="s">
        <v>52</v>
      </c>
      <c r="B15">
        <v>120000</v>
      </c>
      <c r="C15">
        <v>130000</v>
      </c>
      <c r="D15" t="str">
        <f>IF((C15-B15)/B15&lt;=4%,"Decline",IF((C15-B15)/B15&lt;=7%,"Stable","Growth"))</f>
        <v>Growth</v>
      </c>
    </row>
    <row r="16" spans="1:7" x14ac:dyDescent="0.25">
      <c r="A16" t="s">
        <v>53</v>
      </c>
      <c r="B16">
        <v>110000</v>
      </c>
      <c r="C16">
        <v>120000</v>
      </c>
      <c r="D16" t="str">
        <f>IF((C16-B16)/B16&lt;=4%,"Decline",IF((C16-B16)/B16&lt;=7%,"Stable","Growth"))</f>
        <v>Growth</v>
      </c>
    </row>
    <row r="17" spans="1:4" x14ac:dyDescent="0.25">
      <c r="A17" t="s">
        <v>54</v>
      </c>
      <c r="B17">
        <v>100000</v>
      </c>
      <c r="C17">
        <v>110000</v>
      </c>
      <c r="D17" t="str">
        <f>IF((C17-B17)/B17&lt;=4%,"Decline",IF((C17-B17)/B17&lt;=7%,"Stable","Growth"))</f>
        <v>Growth</v>
      </c>
    </row>
    <row r="18" spans="1:4" x14ac:dyDescent="0.25">
      <c r="A18" t="s">
        <v>55</v>
      </c>
      <c r="B18">
        <v>95000</v>
      </c>
      <c r="C18">
        <v>105000</v>
      </c>
      <c r="D18" t="str">
        <f>IF((C18-B18)/B18&lt;=4%,"Decline",IF((C18-B18)/B18&lt;=7%,"Stable","Growth"))</f>
        <v>Growth</v>
      </c>
    </row>
    <row r="19" spans="1:4" x14ac:dyDescent="0.25">
      <c r="A19" t="s">
        <v>56</v>
      </c>
      <c r="B19">
        <v>90000</v>
      </c>
      <c r="C19">
        <v>100000</v>
      </c>
      <c r="D19" t="str">
        <f>IF((C19-B19)/B19&lt;=4%,"Decline",IF((C19-B19)/B19&lt;=7%,"Stable","Growth"))</f>
        <v>Growth</v>
      </c>
    </row>
    <row r="20" spans="1:4" x14ac:dyDescent="0.25">
      <c r="A20" t="s">
        <v>57</v>
      </c>
      <c r="B20">
        <v>85000</v>
      </c>
      <c r="C20">
        <v>95000</v>
      </c>
      <c r="D20" t="str">
        <f>IF((C20-B20)/B20&lt;=4%,"Decline",IF((C20-B20)/B20&lt;=7%,"Stable","Growth"))</f>
        <v>Growth</v>
      </c>
    </row>
    <row r="21" spans="1:4" x14ac:dyDescent="0.25">
      <c r="A21" t="s">
        <v>58</v>
      </c>
      <c r="B21">
        <v>80000</v>
      </c>
      <c r="C21">
        <v>90000</v>
      </c>
      <c r="D21" t="str">
        <f>IF((C21-B21)/B21&lt;=4%,"Decline",IF((C21-B21)/B21&lt;=7%,"Stable","Growth"))</f>
        <v>Growth</v>
      </c>
    </row>
  </sheetData>
  <sortState xmlns:xlrd2="http://schemas.microsoft.com/office/spreadsheetml/2017/richdata2" ref="A2:D21">
    <sortCondition ref="D2:D21" customList="Decline,Stable,Growth"/>
  </sortState>
  <conditionalFormatting sqref="D2:D21">
    <cfRule type="cellIs" dxfId="6" priority="3" operator="equal">
      <formula>"Growth"</formula>
    </cfRule>
    <cfRule type="cellIs" dxfId="5" priority="4" operator="equal">
      <formula>"Stable"</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C24E-3F97-4859-B7A9-3E83A243C326}">
  <sheetPr codeName="Sheet13"/>
  <dimension ref="A1:D6"/>
  <sheetViews>
    <sheetView zoomScale="175" zoomScaleNormal="175" workbookViewId="0">
      <selection activeCell="D2" sqref="D2:D6"/>
    </sheetView>
  </sheetViews>
  <sheetFormatPr defaultRowHeight="15" x14ac:dyDescent="0.25"/>
  <cols>
    <col min="1" max="1" width="15.28515625" bestFit="1" customWidth="1"/>
    <col min="2" max="3" width="12.140625" bestFit="1" customWidth="1"/>
    <col min="4" max="4" width="6.28515625" customWidth="1"/>
  </cols>
  <sheetData>
    <row r="1" spans="1:4" x14ac:dyDescent="0.25">
      <c r="A1" t="s">
        <v>66</v>
      </c>
      <c r="B1" t="s">
        <v>72</v>
      </c>
      <c r="C1" t="s">
        <v>73</v>
      </c>
      <c r="D1" t="s">
        <v>59</v>
      </c>
    </row>
    <row r="2" spans="1:4" x14ac:dyDescent="0.25">
      <c r="A2" t="s">
        <v>67</v>
      </c>
      <c r="B2" s="8">
        <v>1200000</v>
      </c>
      <c r="C2" s="8">
        <v>1500000</v>
      </c>
      <c r="D2" s="8">
        <f>C2-B2</f>
        <v>300000</v>
      </c>
    </row>
    <row r="3" spans="1:4" x14ac:dyDescent="0.25">
      <c r="A3" t="s">
        <v>68</v>
      </c>
      <c r="B3" s="8">
        <v>800000</v>
      </c>
      <c r="C3" s="8">
        <v>720000</v>
      </c>
      <c r="D3" s="8">
        <f t="shared" ref="D3:D6" si="0">C3-B3</f>
        <v>-80000</v>
      </c>
    </row>
    <row r="4" spans="1:4" x14ac:dyDescent="0.25">
      <c r="A4" t="s">
        <v>69</v>
      </c>
      <c r="B4" s="8">
        <v>500000</v>
      </c>
      <c r="C4" s="8">
        <v>450000</v>
      </c>
      <c r="D4" s="8">
        <f t="shared" si="0"/>
        <v>-50000</v>
      </c>
    </row>
    <row r="5" spans="1:4" x14ac:dyDescent="0.25">
      <c r="A5" t="s">
        <v>70</v>
      </c>
      <c r="B5" s="8">
        <v>300000</v>
      </c>
      <c r="C5" s="8">
        <v>330000</v>
      </c>
      <c r="D5" s="8">
        <f t="shared" si="0"/>
        <v>30000</v>
      </c>
    </row>
    <row r="6" spans="1:4" x14ac:dyDescent="0.25">
      <c r="A6" t="s">
        <v>71</v>
      </c>
      <c r="B6" s="8">
        <v>150000</v>
      </c>
      <c r="C6" s="8">
        <v>160000</v>
      </c>
      <c r="D6" s="8">
        <f t="shared" si="0"/>
        <v>10000</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64359BFF-AAB8-4DDC-B007-8370F60D7A2B}">
            <x14:iconSet showValue="0" custom="1">
              <x14:cfvo type="percent">
                <xm:f>0</xm:f>
              </x14:cfvo>
              <x14:cfvo type="num">
                <xm:f>0</xm:f>
              </x14:cfvo>
              <x14:cfvo type="num">
                <xm:f>0</xm:f>
              </x14:cfvo>
              <x14:cfIcon iconSet="3Arrows" iconId="0"/>
              <x14:cfIcon iconSet="3TrafficLights1" iconId="1"/>
              <x14:cfIcon iconSet="3Arrows" iconId="2"/>
            </x14:iconSet>
          </x14:cfRule>
          <xm:sqref>D2:D6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7BC5-A98E-40B7-8C84-07A0FA6D10C7}">
  <sheetPr codeName="Sheet14"/>
  <dimension ref="A1:K21"/>
  <sheetViews>
    <sheetView zoomScale="145" zoomScaleNormal="145" workbookViewId="0">
      <selection activeCell="H2" sqref="H2"/>
    </sheetView>
  </sheetViews>
  <sheetFormatPr defaultRowHeight="15" x14ac:dyDescent="0.25"/>
  <cols>
    <col min="1" max="1" width="14.140625" bestFit="1" customWidth="1"/>
    <col min="2" max="3" width="12.140625" bestFit="1" customWidth="1"/>
    <col min="4" max="4" width="8" bestFit="1" customWidth="1"/>
    <col min="8" max="8" width="12.140625" bestFit="1" customWidth="1"/>
    <col min="9" max="9" width="12.140625" customWidth="1"/>
  </cols>
  <sheetData>
    <row r="1" spans="1:11" x14ac:dyDescent="0.25">
      <c r="A1" t="s">
        <v>36</v>
      </c>
      <c r="B1" t="s">
        <v>37</v>
      </c>
      <c r="C1" t="s">
        <v>38</v>
      </c>
      <c r="D1" t="s">
        <v>65</v>
      </c>
      <c r="H1" t="s">
        <v>37</v>
      </c>
      <c r="I1" t="s">
        <v>38</v>
      </c>
    </row>
    <row r="2" spans="1:11" x14ac:dyDescent="0.25">
      <c r="A2" t="s">
        <v>39</v>
      </c>
      <c r="B2">
        <v>500000</v>
      </c>
      <c r="C2">
        <v>550000</v>
      </c>
      <c r="D2" t="s">
        <v>63</v>
      </c>
      <c r="G2" t="s">
        <v>63</v>
      </c>
      <c r="H2">
        <f>SUMIFS(B$2:B$21,$D$2:$D$21,$G2)</f>
        <v>1820000</v>
      </c>
      <c r="I2">
        <f>SUMIFS(C$2:C$21,$D$2:$D$21,$G2)</f>
        <v>2005000</v>
      </c>
      <c r="K2" t="s">
        <v>208</v>
      </c>
    </row>
    <row r="3" spans="1:11" x14ac:dyDescent="0.25">
      <c r="A3" t="s">
        <v>40</v>
      </c>
      <c r="B3">
        <v>450000</v>
      </c>
      <c r="C3">
        <v>480000</v>
      </c>
      <c r="D3" t="s">
        <v>64</v>
      </c>
      <c r="G3" t="s">
        <v>64</v>
      </c>
      <c r="H3">
        <f>SUMIFS(B$2:B$21,$D$2:$D$21,$G3)</f>
        <v>2020000</v>
      </c>
      <c r="I3">
        <f>SUMIFS(C$2:C$21,$D$2:$D$21,$G3)</f>
        <v>2135000</v>
      </c>
      <c r="K3" t="s">
        <v>209</v>
      </c>
    </row>
    <row r="4" spans="1:11" x14ac:dyDescent="0.25">
      <c r="A4" t="s">
        <v>41</v>
      </c>
      <c r="B4">
        <v>300000</v>
      </c>
      <c r="C4">
        <v>320000</v>
      </c>
      <c r="D4" t="s">
        <v>64</v>
      </c>
    </row>
    <row r="5" spans="1:11" x14ac:dyDescent="0.25">
      <c r="A5" t="s">
        <v>42</v>
      </c>
      <c r="B5">
        <v>280000</v>
      </c>
      <c r="C5">
        <v>290000</v>
      </c>
      <c r="D5" t="s">
        <v>64</v>
      </c>
    </row>
    <row r="6" spans="1:11" x14ac:dyDescent="0.25">
      <c r="A6" t="s">
        <v>43</v>
      </c>
      <c r="B6">
        <v>260000</v>
      </c>
      <c r="C6">
        <v>270000</v>
      </c>
      <c r="D6" t="s">
        <v>64</v>
      </c>
    </row>
    <row r="7" spans="1:11" x14ac:dyDescent="0.25">
      <c r="A7" t="s">
        <v>44</v>
      </c>
      <c r="B7">
        <v>240000</v>
      </c>
      <c r="C7">
        <v>255000</v>
      </c>
      <c r="D7" t="s">
        <v>64</v>
      </c>
    </row>
    <row r="8" spans="1:11" x14ac:dyDescent="0.25">
      <c r="A8" t="s">
        <v>45</v>
      </c>
      <c r="B8">
        <v>200000</v>
      </c>
      <c r="C8">
        <v>220000</v>
      </c>
      <c r="D8" t="s">
        <v>63</v>
      </c>
    </row>
    <row r="9" spans="1:11" x14ac:dyDescent="0.25">
      <c r="A9" t="s">
        <v>46</v>
      </c>
      <c r="B9">
        <v>180000</v>
      </c>
      <c r="C9">
        <v>190000</v>
      </c>
      <c r="D9" t="s">
        <v>64</v>
      </c>
    </row>
    <row r="10" spans="1:11" x14ac:dyDescent="0.25">
      <c r="A10" t="s">
        <v>47</v>
      </c>
      <c r="B10">
        <v>170000</v>
      </c>
      <c r="C10">
        <v>185000</v>
      </c>
      <c r="D10" t="s">
        <v>63</v>
      </c>
    </row>
    <row r="11" spans="1:11" x14ac:dyDescent="0.25">
      <c r="A11" t="s">
        <v>48</v>
      </c>
      <c r="B11">
        <v>160000</v>
      </c>
      <c r="C11">
        <v>170000</v>
      </c>
      <c r="D11" t="s">
        <v>64</v>
      </c>
    </row>
    <row r="12" spans="1:11" x14ac:dyDescent="0.25">
      <c r="A12" t="s">
        <v>49</v>
      </c>
      <c r="B12">
        <v>150000</v>
      </c>
      <c r="C12">
        <v>160000</v>
      </c>
      <c r="D12" t="s">
        <v>64</v>
      </c>
    </row>
    <row r="13" spans="1:11" x14ac:dyDescent="0.25">
      <c r="A13" t="s">
        <v>50</v>
      </c>
      <c r="B13">
        <v>140000</v>
      </c>
      <c r="C13">
        <v>155000</v>
      </c>
      <c r="D13" t="s">
        <v>63</v>
      </c>
    </row>
    <row r="14" spans="1:11" x14ac:dyDescent="0.25">
      <c r="A14" t="s">
        <v>51</v>
      </c>
      <c r="B14">
        <v>130000</v>
      </c>
      <c r="C14">
        <v>145000</v>
      </c>
      <c r="D14" t="s">
        <v>63</v>
      </c>
    </row>
    <row r="15" spans="1:11" x14ac:dyDescent="0.25">
      <c r="A15" t="s">
        <v>52</v>
      </c>
      <c r="B15">
        <v>120000</v>
      </c>
      <c r="C15">
        <v>130000</v>
      </c>
      <c r="D15" t="s">
        <v>63</v>
      </c>
    </row>
    <row r="16" spans="1:11" x14ac:dyDescent="0.25">
      <c r="A16" t="s">
        <v>53</v>
      </c>
      <c r="B16">
        <v>110000</v>
      </c>
      <c r="C16">
        <v>120000</v>
      </c>
      <c r="D16" t="s">
        <v>63</v>
      </c>
    </row>
    <row r="17" spans="1:4" x14ac:dyDescent="0.25">
      <c r="A17" t="s">
        <v>54</v>
      </c>
      <c r="B17">
        <v>100000</v>
      </c>
      <c r="C17">
        <v>110000</v>
      </c>
      <c r="D17" t="s">
        <v>63</v>
      </c>
    </row>
    <row r="18" spans="1:4" x14ac:dyDescent="0.25">
      <c r="A18" t="s">
        <v>55</v>
      </c>
      <c r="B18">
        <v>95000</v>
      </c>
      <c r="C18">
        <v>105000</v>
      </c>
      <c r="D18" t="s">
        <v>63</v>
      </c>
    </row>
    <row r="19" spans="1:4" x14ac:dyDescent="0.25">
      <c r="A19" t="s">
        <v>56</v>
      </c>
      <c r="B19">
        <v>90000</v>
      </c>
      <c r="C19">
        <v>100000</v>
      </c>
      <c r="D19" t="s">
        <v>63</v>
      </c>
    </row>
    <row r="20" spans="1:4" x14ac:dyDescent="0.25">
      <c r="A20" t="s">
        <v>57</v>
      </c>
      <c r="B20">
        <v>85000</v>
      </c>
      <c r="C20">
        <v>95000</v>
      </c>
      <c r="D20" t="s">
        <v>63</v>
      </c>
    </row>
    <row r="21" spans="1:4" x14ac:dyDescent="0.25">
      <c r="A21" t="s">
        <v>58</v>
      </c>
      <c r="B21">
        <v>80000</v>
      </c>
      <c r="C21">
        <v>90000</v>
      </c>
      <c r="D21" t="s">
        <v>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7DD6-ED7F-44DE-B92A-4C3509569946}">
  <dimension ref="A1:K21"/>
  <sheetViews>
    <sheetView zoomScale="145" zoomScaleNormal="145" workbookViewId="0">
      <selection activeCell="H2" sqref="H2:I3"/>
    </sheetView>
  </sheetViews>
  <sheetFormatPr defaultRowHeight="15" x14ac:dyDescent="0.25"/>
  <cols>
    <col min="1" max="1" width="14.140625" bestFit="1" customWidth="1"/>
    <col min="2" max="3" width="12.140625" bestFit="1" customWidth="1"/>
    <col min="4" max="4" width="8" bestFit="1" customWidth="1"/>
    <col min="8" max="8" width="12.140625" bestFit="1" customWidth="1"/>
    <col min="9" max="9" width="12.140625" customWidth="1"/>
  </cols>
  <sheetData>
    <row r="1" spans="1:11" x14ac:dyDescent="0.25">
      <c r="A1" t="s">
        <v>36</v>
      </c>
      <c r="B1" t="s">
        <v>37</v>
      </c>
      <c r="C1" t="s">
        <v>38</v>
      </c>
      <c r="D1" t="s">
        <v>65</v>
      </c>
      <c r="H1" t="s">
        <v>37</v>
      </c>
      <c r="I1" t="s">
        <v>38</v>
      </c>
    </row>
    <row r="2" spans="1:11" x14ac:dyDescent="0.25">
      <c r="A2" t="s">
        <v>39</v>
      </c>
      <c r="B2">
        <v>500000</v>
      </c>
      <c r="C2">
        <v>550000</v>
      </c>
      <c r="D2" t="s">
        <v>63</v>
      </c>
      <c r="G2" t="s">
        <v>63</v>
      </c>
      <c r="H2">
        <f>SUMIFS(B$2:B$21,$D$2:$D$21,$G2)</f>
        <v>1820000</v>
      </c>
      <c r="I2">
        <f>SUMIFS(C$2:C$21,$D$2:$D$21,$G2)</f>
        <v>2005000</v>
      </c>
      <c r="K2" t="s">
        <v>208</v>
      </c>
    </row>
    <row r="3" spans="1:11" x14ac:dyDescent="0.25">
      <c r="A3" t="s">
        <v>40</v>
      </c>
      <c r="B3">
        <v>450000</v>
      </c>
      <c r="C3">
        <v>480000</v>
      </c>
      <c r="D3" t="s">
        <v>64</v>
      </c>
      <c r="G3" t="s">
        <v>64</v>
      </c>
      <c r="H3">
        <f>SUMIFS(B$2:B$21,$D$2:$D$21,$G3)</f>
        <v>2020000</v>
      </c>
      <c r="I3">
        <f>SUMIFS(C$2:C$21,$D$2:$D$21,$G3)</f>
        <v>2135000</v>
      </c>
      <c r="K3" t="s">
        <v>209</v>
      </c>
    </row>
    <row r="4" spans="1:11" x14ac:dyDescent="0.25">
      <c r="A4" t="s">
        <v>41</v>
      </c>
      <c r="B4">
        <v>300000</v>
      </c>
      <c r="C4">
        <v>320000</v>
      </c>
      <c r="D4" t="s">
        <v>64</v>
      </c>
    </row>
    <row r="5" spans="1:11" x14ac:dyDescent="0.25">
      <c r="A5" t="s">
        <v>42</v>
      </c>
      <c r="B5">
        <v>280000</v>
      </c>
      <c r="C5">
        <v>290000</v>
      </c>
      <c r="D5" t="s">
        <v>64</v>
      </c>
    </row>
    <row r="6" spans="1:11" x14ac:dyDescent="0.25">
      <c r="A6" t="s">
        <v>43</v>
      </c>
      <c r="B6">
        <v>260000</v>
      </c>
      <c r="C6">
        <v>270000</v>
      </c>
      <c r="D6" t="s">
        <v>64</v>
      </c>
    </row>
    <row r="7" spans="1:11" x14ac:dyDescent="0.25">
      <c r="A7" t="s">
        <v>44</v>
      </c>
      <c r="B7">
        <v>240000</v>
      </c>
      <c r="C7">
        <v>255000</v>
      </c>
      <c r="D7" t="s">
        <v>64</v>
      </c>
    </row>
    <row r="8" spans="1:11" x14ac:dyDescent="0.25">
      <c r="A8" t="s">
        <v>45</v>
      </c>
      <c r="B8">
        <v>200000</v>
      </c>
      <c r="C8">
        <v>220000</v>
      </c>
      <c r="D8" t="s">
        <v>63</v>
      </c>
    </row>
    <row r="9" spans="1:11" x14ac:dyDescent="0.25">
      <c r="A9" t="s">
        <v>46</v>
      </c>
      <c r="B9">
        <v>180000</v>
      </c>
      <c r="C9">
        <v>190000</v>
      </c>
      <c r="D9" t="s">
        <v>64</v>
      </c>
    </row>
    <row r="10" spans="1:11" x14ac:dyDescent="0.25">
      <c r="A10" t="s">
        <v>47</v>
      </c>
      <c r="B10">
        <v>170000</v>
      </c>
      <c r="C10">
        <v>185000</v>
      </c>
      <c r="D10" t="s">
        <v>63</v>
      </c>
    </row>
    <row r="11" spans="1:11" x14ac:dyDescent="0.25">
      <c r="A11" t="s">
        <v>48</v>
      </c>
      <c r="B11">
        <v>160000</v>
      </c>
      <c r="C11">
        <v>170000</v>
      </c>
      <c r="D11" t="s">
        <v>64</v>
      </c>
    </row>
    <row r="12" spans="1:11" x14ac:dyDescent="0.25">
      <c r="A12" t="s">
        <v>49</v>
      </c>
      <c r="B12">
        <v>150000</v>
      </c>
      <c r="C12">
        <v>160000</v>
      </c>
      <c r="D12" t="s">
        <v>64</v>
      </c>
    </row>
    <row r="13" spans="1:11" x14ac:dyDescent="0.25">
      <c r="A13" t="s">
        <v>50</v>
      </c>
      <c r="B13">
        <v>140000</v>
      </c>
      <c r="C13">
        <v>155000</v>
      </c>
      <c r="D13" t="s">
        <v>63</v>
      </c>
    </row>
    <row r="14" spans="1:11" x14ac:dyDescent="0.25">
      <c r="A14" t="s">
        <v>51</v>
      </c>
      <c r="B14">
        <v>130000</v>
      </c>
      <c r="C14">
        <v>145000</v>
      </c>
      <c r="D14" t="s">
        <v>63</v>
      </c>
    </row>
    <row r="15" spans="1:11" x14ac:dyDescent="0.25">
      <c r="A15" t="s">
        <v>52</v>
      </c>
      <c r="B15">
        <v>120000</v>
      </c>
      <c r="C15">
        <v>130000</v>
      </c>
      <c r="D15" t="s">
        <v>63</v>
      </c>
    </row>
    <row r="16" spans="1:11" x14ac:dyDescent="0.25">
      <c r="A16" t="s">
        <v>53</v>
      </c>
      <c r="B16">
        <v>110000</v>
      </c>
      <c r="C16">
        <v>120000</v>
      </c>
      <c r="D16" t="s">
        <v>63</v>
      </c>
    </row>
    <row r="17" spans="1:4" x14ac:dyDescent="0.25">
      <c r="A17" t="s">
        <v>54</v>
      </c>
      <c r="B17">
        <v>100000</v>
      </c>
      <c r="C17">
        <v>110000</v>
      </c>
      <c r="D17" t="s">
        <v>63</v>
      </c>
    </row>
    <row r="18" spans="1:4" x14ac:dyDescent="0.25">
      <c r="A18" t="s">
        <v>55</v>
      </c>
      <c r="B18">
        <v>95000</v>
      </c>
      <c r="C18">
        <v>105000</v>
      </c>
      <c r="D18" t="s">
        <v>63</v>
      </c>
    </row>
    <row r="19" spans="1:4" x14ac:dyDescent="0.25">
      <c r="A19" t="s">
        <v>56</v>
      </c>
      <c r="B19">
        <v>90000</v>
      </c>
      <c r="C19">
        <v>100000</v>
      </c>
      <c r="D19" t="s">
        <v>63</v>
      </c>
    </row>
    <row r="20" spans="1:4" x14ac:dyDescent="0.25">
      <c r="A20" t="s">
        <v>57</v>
      </c>
      <c r="B20">
        <v>85000</v>
      </c>
      <c r="C20">
        <v>95000</v>
      </c>
      <c r="D20" t="s">
        <v>63</v>
      </c>
    </row>
    <row r="21" spans="1:4" x14ac:dyDescent="0.25">
      <c r="A21" t="s">
        <v>58</v>
      </c>
      <c r="B21">
        <v>80000</v>
      </c>
      <c r="C21">
        <v>90000</v>
      </c>
      <c r="D21" t="s">
        <v>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D609-3E1A-42A1-BD08-5F1CC0296495}">
  <sheetPr codeName="Sheet15"/>
  <dimension ref="A1:H5"/>
  <sheetViews>
    <sheetView zoomScale="145" zoomScaleNormal="145" workbookViewId="0">
      <selection activeCell="B1" sqref="B1:E1048576"/>
    </sheetView>
  </sheetViews>
  <sheetFormatPr defaultRowHeight="15" x14ac:dyDescent="0.25"/>
  <cols>
    <col min="2" max="5" width="8.42578125" bestFit="1" customWidth="1"/>
  </cols>
  <sheetData>
    <row r="1" spans="1:8" x14ac:dyDescent="0.25">
      <c r="A1" t="s">
        <v>74</v>
      </c>
      <c r="B1">
        <v>2021</v>
      </c>
      <c r="C1">
        <v>2022</v>
      </c>
      <c r="D1">
        <v>2023</v>
      </c>
      <c r="E1">
        <v>2024</v>
      </c>
      <c r="F1" s="6"/>
      <c r="G1" s="6"/>
      <c r="H1" s="6"/>
    </row>
    <row r="2" spans="1:8" x14ac:dyDescent="0.25">
      <c r="A2" t="s">
        <v>75</v>
      </c>
      <c r="B2" s="8">
        <v>500000</v>
      </c>
      <c r="C2" s="8">
        <v>520000</v>
      </c>
      <c r="D2" s="8">
        <v>550000</v>
      </c>
      <c r="E2" s="8">
        <v>580000</v>
      </c>
    </row>
    <row r="3" spans="1:8" x14ac:dyDescent="0.25">
      <c r="A3" t="s">
        <v>76</v>
      </c>
      <c r="B3" s="8">
        <v>350000</v>
      </c>
      <c r="C3" s="8">
        <v>370000</v>
      </c>
      <c r="D3" s="8">
        <v>390000</v>
      </c>
      <c r="E3" s="8">
        <v>410000</v>
      </c>
    </row>
    <row r="4" spans="1:8" x14ac:dyDescent="0.25">
      <c r="A4" t="s">
        <v>77</v>
      </c>
      <c r="B4" s="8">
        <v>450000</v>
      </c>
      <c r="C4" s="8">
        <v>470000</v>
      </c>
      <c r="D4" s="8">
        <v>490000</v>
      </c>
      <c r="E4" s="8">
        <v>510000</v>
      </c>
    </row>
    <row r="5" spans="1:8" x14ac:dyDescent="0.25">
      <c r="A5" t="s">
        <v>78</v>
      </c>
      <c r="B5" s="8">
        <v>300000</v>
      </c>
      <c r="C5" s="8">
        <v>310000</v>
      </c>
      <c r="D5" s="8">
        <v>330000</v>
      </c>
      <c r="E5" s="8">
        <v>340000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8557-263A-49CD-BE43-9FDE144EBF95}">
  <sheetPr codeName="Sheet16"/>
  <dimension ref="A1:H5"/>
  <sheetViews>
    <sheetView zoomScale="160" zoomScaleNormal="160" workbookViewId="0">
      <selection activeCell="F2" sqref="F2:H5"/>
    </sheetView>
  </sheetViews>
  <sheetFormatPr defaultRowHeight="15" x14ac:dyDescent="0.25"/>
  <cols>
    <col min="2" max="5" width="7.85546875" bestFit="1" customWidth="1"/>
    <col min="6" max="8" width="9.42578125" bestFit="1" customWidth="1"/>
  </cols>
  <sheetData>
    <row r="1" spans="1:8" x14ac:dyDescent="0.25">
      <c r="A1" t="s">
        <v>74</v>
      </c>
      <c r="B1">
        <v>2021</v>
      </c>
      <c r="C1">
        <v>2022</v>
      </c>
      <c r="D1">
        <v>2023</v>
      </c>
      <c r="E1">
        <v>2024</v>
      </c>
      <c r="F1" t="s">
        <v>79</v>
      </c>
      <c r="G1" t="s">
        <v>80</v>
      </c>
      <c r="H1" t="s">
        <v>81</v>
      </c>
    </row>
    <row r="2" spans="1:8" x14ac:dyDescent="0.25">
      <c r="A2" t="s">
        <v>75</v>
      </c>
      <c r="B2" s="8">
        <v>500000</v>
      </c>
      <c r="C2" s="8">
        <v>520000</v>
      </c>
      <c r="D2" s="8">
        <v>550000</v>
      </c>
      <c r="E2" s="8">
        <v>580000</v>
      </c>
    </row>
    <row r="3" spans="1:8" x14ac:dyDescent="0.25">
      <c r="A3" t="s">
        <v>76</v>
      </c>
      <c r="B3" s="8">
        <v>350000</v>
      </c>
      <c r="C3" s="8">
        <v>370000</v>
      </c>
      <c r="D3" s="8">
        <v>390000</v>
      </c>
      <c r="E3" s="8">
        <v>410000</v>
      </c>
    </row>
    <row r="4" spans="1:8" x14ac:dyDescent="0.25">
      <c r="A4" t="s">
        <v>77</v>
      </c>
      <c r="B4" s="8">
        <v>450000</v>
      </c>
      <c r="C4" s="8">
        <v>470000</v>
      </c>
      <c r="D4" s="8">
        <v>490000</v>
      </c>
      <c r="E4" s="8">
        <v>510000</v>
      </c>
    </row>
    <row r="5" spans="1:8" x14ac:dyDescent="0.25">
      <c r="A5" t="s">
        <v>78</v>
      </c>
      <c r="B5" s="8">
        <v>300000</v>
      </c>
      <c r="C5" s="8">
        <v>310000</v>
      </c>
      <c r="D5" s="8">
        <v>330000</v>
      </c>
      <c r="E5" s="8">
        <v>340000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CA21-E378-4463-A6A6-98E6E8F41F1A}">
  <sheetPr codeName="Sheet17"/>
  <dimension ref="A1:E11"/>
  <sheetViews>
    <sheetView zoomScale="160" zoomScaleNormal="160" workbookViewId="0">
      <selection activeCell="E9" sqref="E9"/>
    </sheetView>
  </sheetViews>
  <sheetFormatPr defaultRowHeight="15" x14ac:dyDescent="0.25"/>
  <cols>
    <col min="2" max="2" width="7.85546875" bestFit="1" customWidth="1"/>
    <col min="3" max="5" width="9.5703125" bestFit="1" customWidth="1"/>
    <col min="6" max="8" width="9.42578125" bestFit="1" customWidth="1"/>
  </cols>
  <sheetData>
    <row r="1" spans="1:5" x14ac:dyDescent="0.25">
      <c r="A1" t="s">
        <v>74</v>
      </c>
      <c r="B1">
        <v>2021</v>
      </c>
      <c r="C1">
        <v>2022</v>
      </c>
      <c r="D1">
        <v>2023</v>
      </c>
      <c r="E1">
        <v>2024</v>
      </c>
    </row>
    <row r="2" spans="1:5" x14ac:dyDescent="0.25">
      <c r="A2" t="s">
        <v>75</v>
      </c>
      <c r="B2" s="8">
        <v>500000</v>
      </c>
      <c r="C2" s="8">
        <v>520000</v>
      </c>
      <c r="D2" s="8">
        <v>550000</v>
      </c>
      <c r="E2" s="8">
        <v>580000</v>
      </c>
    </row>
    <row r="3" spans="1:5" x14ac:dyDescent="0.25">
      <c r="A3" t="s">
        <v>76</v>
      </c>
      <c r="B3" s="8">
        <v>350000</v>
      </c>
      <c r="C3" s="8">
        <v>370000</v>
      </c>
      <c r="D3" s="8">
        <v>390000</v>
      </c>
      <c r="E3" s="8">
        <v>410000</v>
      </c>
    </row>
    <row r="4" spans="1:5" x14ac:dyDescent="0.25">
      <c r="A4" t="s">
        <v>77</v>
      </c>
      <c r="B4" s="8">
        <v>450000</v>
      </c>
      <c r="C4" s="8">
        <v>470000</v>
      </c>
      <c r="D4" s="8">
        <v>490000</v>
      </c>
      <c r="E4" s="8">
        <v>510000</v>
      </c>
    </row>
    <row r="5" spans="1:5" x14ac:dyDescent="0.25">
      <c r="A5" t="s">
        <v>78</v>
      </c>
      <c r="B5" s="8">
        <v>300000</v>
      </c>
      <c r="C5" s="8">
        <v>310000</v>
      </c>
      <c r="D5" s="8">
        <v>330000</v>
      </c>
      <c r="E5" s="8">
        <v>340000</v>
      </c>
    </row>
    <row r="7" spans="1:5" x14ac:dyDescent="0.25">
      <c r="A7" t="s">
        <v>74</v>
      </c>
      <c r="C7" t="s">
        <v>79</v>
      </c>
      <c r="D7" t="s">
        <v>80</v>
      </c>
      <c r="E7" t="s">
        <v>81</v>
      </c>
    </row>
    <row r="8" spans="1:5" x14ac:dyDescent="0.25">
      <c r="A8" t="s">
        <v>75</v>
      </c>
    </row>
    <row r="9" spans="1:5" x14ac:dyDescent="0.25">
      <c r="A9" t="s">
        <v>76</v>
      </c>
    </row>
    <row r="10" spans="1:5" x14ac:dyDescent="0.25">
      <c r="A10" t="s">
        <v>77</v>
      </c>
    </row>
    <row r="11" spans="1:5" x14ac:dyDescent="0.25">
      <c r="A11" t="s">
        <v>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EDF6-8512-47B7-8CAB-8A98F4A42075}">
  <sheetPr codeName="Sheet18"/>
  <dimension ref="A1:G11"/>
  <sheetViews>
    <sheetView zoomScale="160" zoomScaleNormal="160" workbookViewId="0">
      <selection activeCell="F7" sqref="F7"/>
    </sheetView>
  </sheetViews>
  <sheetFormatPr defaultRowHeight="15" x14ac:dyDescent="0.25"/>
  <cols>
    <col min="2" max="2" width="7.85546875" bestFit="1" customWidth="1"/>
    <col min="3" max="5" width="9.5703125" bestFit="1" customWidth="1"/>
    <col min="6" max="8" width="9.42578125" bestFit="1" customWidth="1"/>
  </cols>
  <sheetData>
    <row r="1" spans="1:7" x14ac:dyDescent="0.25">
      <c r="A1" t="s">
        <v>74</v>
      </c>
      <c r="B1">
        <v>2021</v>
      </c>
      <c r="C1">
        <v>2022</v>
      </c>
      <c r="D1">
        <v>2023</v>
      </c>
      <c r="E1">
        <v>2024</v>
      </c>
      <c r="G1" t="s">
        <v>82</v>
      </c>
    </row>
    <row r="2" spans="1:7" x14ac:dyDescent="0.25">
      <c r="A2" t="s">
        <v>75</v>
      </c>
      <c r="B2" s="8">
        <v>500000</v>
      </c>
      <c r="C2" s="8">
        <v>520000</v>
      </c>
      <c r="D2" s="8">
        <v>550000</v>
      </c>
      <c r="E2" s="8">
        <v>580000</v>
      </c>
    </row>
    <row r="3" spans="1:7" x14ac:dyDescent="0.25">
      <c r="A3" t="s">
        <v>76</v>
      </c>
      <c r="B3" s="8">
        <v>350000</v>
      </c>
      <c r="C3" s="8">
        <v>370000</v>
      </c>
      <c r="D3" s="8">
        <v>390000</v>
      </c>
      <c r="E3" s="8">
        <v>410000</v>
      </c>
    </row>
    <row r="4" spans="1:7" x14ac:dyDescent="0.25">
      <c r="A4" t="s">
        <v>77</v>
      </c>
      <c r="B4" s="8">
        <v>450000</v>
      </c>
      <c r="C4" s="8">
        <v>470000</v>
      </c>
      <c r="D4" s="8">
        <v>490000</v>
      </c>
      <c r="E4" s="8">
        <v>510000</v>
      </c>
    </row>
    <row r="5" spans="1:7" x14ac:dyDescent="0.25">
      <c r="A5" t="s">
        <v>78</v>
      </c>
      <c r="B5" s="8">
        <v>300000</v>
      </c>
      <c r="C5" s="8">
        <v>310000</v>
      </c>
      <c r="D5" s="8">
        <v>330000</v>
      </c>
      <c r="E5" s="8">
        <v>340000</v>
      </c>
    </row>
    <row r="7" spans="1:7" ht="15.75" thickBot="1" x14ac:dyDescent="0.3">
      <c r="A7" t="s">
        <v>74</v>
      </c>
      <c r="C7" t="s">
        <v>79</v>
      </c>
      <c r="D7" t="s">
        <v>80</v>
      </c>
      <c r="E7" t="s">
        <v>81</v>
      </c>
    </row>
    <row r="8" spans="1:7" x14ac:dyDescent="0.25">
      <c r="A8" t="s">
        <v>75</v>
      </c>
      <c r="C8" s="9"/>
      <c r="D8" s="10"/>
      <c r="E8" s="11"/>
    </row>
    <row r="9" spans="1:7" x14ac:dyDescent="0.25">
      <c r="A9" t="s">
        <v>76</v>
      </c>
      <c r="C9" s="12"/>
      <c r="E9" s="13"/>
    </row>
    <row r="10" spans="1:7" x14ac:dyDescent="0.25">
      <c r="A10" t="s">
        <v>77</v>
      </c>
      <c r="C10" s="12"/>
      <c r="E10" s="13"/>
    </row>
    <row r="11" spans="1:7" ht="15.75" thickBot="1" x14ac:dyDescent="0.3">
      <c r="A11" t="s">
        <v>78</v>
      </c>
      <c r="C11" s="14"/>
      <c r="D11" s="15"/>
      <c r="E11" s="1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AA02-81E6-4A9C-9BFD-AE72DA6F1F8D}">
  <sheetPr codeName="Sheet19"/>
  <dimension ref="A1:G11"/>
  <sheetViews>
    <sheetView zoomScale="160" zoomScaleNormal="160" workbookViewId="0">
      <selection activeCell="D9" sqref="D9"/>
    </sheetView>
  </sheetViews>
  <sheetFormatPr defaultRowHeight="15" x14ac:dyDescent="0.25"/>
  <cols>
    <col min="2" max="2" width="7.85546875" bestFit="1" customWidth="1"/>
    <col min="3" max="5" width="9.5703125" bestFit="1" customWidth="1"/>
    <col min="6" max="8" width="9.42578125" bestFit="1" customWidth="1"/>
  </cols>
  <sheetData>
    <row r="1" spans="1:7" x14ac:dyDescent="0.25">
      <c r="A1" t="s">
        <v>74</v>
      </c>
      <c r="B1">
        <v>2021</v>
      </c>
      <c r="C1">
        <v>2022</v>
      </c>
      <c r="D1">
        <v>2023</v>
      </c>
      <c r="E1">
        <v>2024</v>
      </c>
      <c r="G1" t="s">
        <v>82</v>
      </c>
    </row>
    <row r="2" spans="1:7" x14ac:dyDescent="0.25">
      <c r="A2" t="s">
        <v>75</v>
      </c>
      <c r="B2" s="8">
        <v>500000</v>
      </c>
      <c r="C2" s="8">
        <v>520000</v>
      </c>
      <c r="D2" s="8">
        <v>550000</v>
      </c>
      <c r="E2" s="8">
        <v>580000</v>
      </c>
    </row>
    <row r="3" spans="1:7" x14ac:dyDescent="0.25">
      <c r="A3" t="s">
        <v>76</v>
      </c>
      <c r="B3" s="8">
        <v>350000</v>
      </c>
      <c r="C3" s="8">
        <v>370000</v>
      </c>
      <c r="D3" s="8">
        <v>390000</v>
      </c>
      <c r="E3" s="8">
        <v>410000</v>
      </c>
    </row>
    <row r="4" spans="1:7" x14ac:dyDescent="0.25">
      <c r="A4" t="s">
        <v>77</v>
      </c>
      <c r="B4" s="8">
        <v>450000</v>
      </c>
      <c r="C4" s="8">
        <v>470000</v>
      </c>
      <c r="D4" s="8">
        <v>490000</v>
      </c>
      <c r="E4" s="8">
        <v>510000</v>
      </c>
    </row>
    <row r="5" spans="1:7" x14ac:dyDescent="0.25">
      <c r="A5" t="s">
        <v>78</v>
      </c>
      <c r="B5" s="8">
        <v>300000</v>
      </c>
      <c r="C5" s="8">
        <v>310000</v>
      </c>
      <c r="D5" s="8">
        <v>330000</v>
      </c>
      <c r="E5" s="8">
        <v>340000</v>
      </c>
    </row>
    <row r="7" spans="1:7" x14ac:dyDescent="0.25">
      <c r="A7" t="s">
        <v>74</v>
      </c>
      <c r="C7" t="s">
        <v>79</v>
      </c>
      <c r="D7" t="s">
        <v>80</v>
      </c>
      <c r="E7" t="s">
        <v>81</v>
      </c>
    </row>
    <row r="8" spans="1:7" x14ac:dyDescent="0.25">
      <c r="A8" t="s">
        <v>75</v>
      </c>
    </row>
    <row r="9" spans="1:7" x14ac:dyDescent="0.25">
      <c r="A9" t="s">
        <v>76</v>
      </c>
    </row>
    <row r="10" spans="1:7" x14ac:dyDescent="0.25">
      <c r="A10" t="s">
        <v>77</v>
      </c>
    </row>
    <row r="11" spans="1:7" x14ac:dyDescent="0.25">
      <c r="A11" t="s">
        <v>78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CF36-B7DE-4033-B9EB-36DE5B7C5510}">
  <sheetPr codeName="Sheet20"/>
  <dimension ref="A1:J6"/>
  <sheetViews>
    <sheetView zoomScale="160" zoomScaleNormal="160" workbookViewId="0">
      <selection activeCell="E2" sqref="E2"/>
    </sheetView>
  </sheetViews>
  <sheetFormatPr defaultRowHeight="15" x14ac:dyDescent="0.25"/>
  <cols>
    <col min="1" max="1" width="8" bestFit="1" customWidth="1"/>
    <col min="2" max="2" width="8.85546875" bestFit="1" customWidth="1"/>
    <col min="3" max="3" width="8" bestFit="1" customWidth="1"/>
    <col min="4" max="4" width="14.5703125" customWidth="1"/>
    <col min="5" max="5" width="9.140625" customWidth="1"/>
    <col min="9" max="9" width="9" bestFit="1" customWidth="1"/>
    <col min="10" max="10" width="11.42578125" bestFit="1" customWidth="1"/>
  </cols>
  <sheetData>
    <row r="1" spans="1:10" x14ac:dyDescent="0.25">
      <c r="A1" t="s">
        <v>83</v>
      </c>
      <c r="B1" t="s">
        <v>66</v>
      </c>
      <c r="C1" t="s">
        <v>84</v>
      </c>
      <c r="D1" t="s">
        <v>85</v>
      </c>
      <c r="E1" t="s">
        <v>91</v>
      </c>
      <c r="I1" t="s">
        <v>66</v>
      </c>
      <c r="J1" t="s">
        <v>89</v>
      </c>
    </row>
    <row r="2" spans="1:10" x14ac:dyDescent="0.25">
      <c r="A2">
        <v>1001</v>
      </c>
      <c r="B2" t="s">
        <v>86</v>
      </c>
      <c r="C2">
        <v>10</v>
      </c>
      <c r="D2" s="6">
        <f>VLOOKUP(B2,$I$2:$J$5,2,0)</f>
        <v>20</v>
      </c>
      <c r="E2" s="6">
        <f>+C2*D2</f>
        <v>200</v>
      </c>
      <c r="I2" t="s">
        <v>86</v>
      </c>
      <c r="J2">
        <v>20</v>
      </c>
    </row>
    <row r="3" spans="1:10" x14ac:dyDescent="0.25">
      <c r="A3">
        <v>1002</v>
      </c>
      <c r="B3" t="s">
        <v>87</v>
      </c>
      <c r="C3">
        <v>5</v>
      </c>
      <c r="D3" s="6">
        <f t="shared" ref="D3:D6" si="0">VLOOKUP(B3,$I$2:$J$5,2,0)</f>
        <v>30</v>
      </c>
      <c r="E3" s="6">
        <f t="shared" ref="E3:E6" si="1">+C3*D3</f>
        <v>150</v>
      </c>
      <c r="I3" t="s">
        <v>87</v>
      </c>
      <c r="J3">
        <v>30</v>
      </c>
    </row>
    <row r="4" spans="1:10" x14ac:dyDescent="0.25">
      <c r="A4">
        <v>1003</v>
      </c>
      <c r="B4" t="s">
        <v>86</v>
      </c>
      <c r="C4">
        <v>8</v>
      </c>
      <c r="D4" s="6">
        <f t="shared" si="0"/>
        <v>20</v>
      </c>
      <c r="E4" s="6">
        <f t="shared" si="1"/>
        <v>160</v>
      </c>
      <c r="I4" t="s">
        <v>88</v>
      </c>
      <c r="J4">
        <v>15</v>
      </c>
    </row>
    <row r="5" spans="1:10" x14ac:dyDescent="0.25">
      <c r="A5">
        <v>1004</v>
      </c>
      <c r="B5" t="s">
        <v>88</v>
      </c>
      <c r="C5">
        <v>15</v>
      </c>
      <c r="D5" s="6">
        <f t="shared" si="0"/>
        <v>15</v>
      </c>
      <c r="E5" s="6">
        <f t="shared" si="1"/>
        <v>225</v>
      </c>
      <c r="I5" t="s">
        <v>90</v>
      </c>
      <c r="J5">
        <v>25</v>
      </c>
    </row>
    <row r="6" spans="1:10" x14ac:dyDescent="0.25">
      <c r="A6">
        <v>1005</v>
      </c>
      <c r="B6" t="s">
        <v>87</v>
      </c>
      <c r="C6">
        <v>3</v>
      </c>
      <c r="D6" s="6">
        <f t="shared" si="0"/>
        <v>30</v>
      </c>
      <c r="E6" s="6">
        <f t="shared" si="1"/>
        <v>90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4990-7240-477C-AE54-84030622FD0F}">
  <sheetPr codeName="Sheet21"/>
  <dimension ref="A1:I5"/>
  <sheetViews>
    <sheetView zoomScale="145" zoomScaleNormal="145" workbookViewId="0">
      <selection activeCell="H8" sqref="H8"/>
    </sheetView>
  </sheetViews>
  <sheetFormatPr defaultRowHeight="15" x14ac:dyDescent="0.25"/>
  <cols>
    <col min="1" max="1" width="11.28515625" bestFit="1" customWidth="1"/>
    <col min="2" max="2" width="14.42578125" bestFit="1" customWidth="1"/>
    <col min="3" max="3" width="13.28515625" bestFit="1" customWidth="1"/>
    <col min="4" max="4" width="16.42578125" bestFit="1" customWidth="1"/>
    <col min="5" max="5" width="7.5703125" bestFit="1" customWidth="1"/>
    <col min="8" max="8" width="13.28515625" bestFit="1" customWidth="1"/>
    <col min="9" max="9" width="16.42578125" bestFit="1" customWidth="1"/>
    <col min="10" max="10" width="11.42578125" bestFit="1" customWidth="1"/>
  </cols>
  <sheetData>
    <row r="1" spans="1:9" x14ac:dyDescent="0.25">
      <c r="A1" t="s">
        <v>92</v>
      </c>
      <c r="B1" t="s">
        <v>93</v>
      </c>
      <c r="C1" t="s">
        <v>94</v>
      </c>
      <c r="D1" t="s">
        <v>99</v>
      </c>
      <c r="H1" t="s">
        <v>94</v>
      </c>
      <c r="I1" t="s">
        <v>99</v>
      </c>
    </row>
    <row r="2" spans="1:9" x14ac:dyDescent="0.25">
      <c r="A2">
        <v>101</v>
      </c>
      <c r="B2" t="s">
        <v>95</v>
      </c>
      <c r="C2">
        <v>201</v>
      </c>
      <c r="D2" s="6" t="str">
        <f>VLOOKUP(C2,$H$2:$I$4,2,0)</f>
        <v>Sales</v>
      </c>
      <c r="H2">
        <v>201</v>
      </c>
      <c r="I2" t="s">
        <v>3</v>
      </c>
    </row>
    <row r="3" spans="1:9" x14ac:dyDescent="0.25">
      <c r="A3">
        <v>102</v>
      </c>
      <c r="B3" t="s">
        <v>96</v>
      </c>
      <c r="C3">
        <v>202</v>
      </c>
      <c r="D3" s="6" t="str">
        <f t="shared" ref="D3:D5" si="0">VLOOKUP(C3,$H$2:$I$4,2,0)</f>
        <v>Marketing</v>
      </c>
      <c r="H3">
        <v>202</v>
      </c>
      <c r="I3" t="s">
        <v>100</v>
      </c>
    </row>
    <row r="4" spans="1:9" x14ac:dyDescent="0.25">
      <c r="A4">
        <v>103</v>
      </c>
      <c r="B4" t="s">
        <v>97</v>
      </c>
      <c r="C4">
        <v>201</v>
      </c>
      <c r="D4" s="6" t="str">
        <f t="shared" si="0"/>
        <v>Sales</v>
      </c>
      <c r="H4">
        <v>203</v>
      </c>
      <c r="I4" t="s">
        <v>101</v>
      </c>
    </row>
    <row r="5" spans="1:9" x14ac:dyDescent="0.25">
      <c r="A5">
        <v>104</v>
      </c>
      <c r="B5" t="s">
        <v>98</v>
      </c>
      <c r="C5">
        <v>203</v>
      </c>
      <c r="D5" s="6" t="str">
        <f t="shared" si="0"/>
        <v>Finance</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9499-52A6-4688-ABF3-2E81F36FC25A}">
  <dimension ref="A1:H31"/>
  <sheetViews>
    <sheetView zoomScale="175" zoomScaleNormal="175" workbookViewId="0">
      <selection activeCell="D6" sqref="D6"/>
    </sheetView>
  </sheetViews>
  <sheetFormatPr defaultRowHeight="15" x14ac:dyDescent="0.25"/>
  <cols>
    <col min="1" max="1" width="10.7109375" bestFit="1" customWidth="1"/>
    <col min="2" max="2" width="17.85546875" bestFit="1" customWidth="1"/>
    <col min="3" max="3" width="9.42578125" bestFit="1" customWidth="1"/>
  </cols>
  <sheetData>
    <row r="1" spans="1:8" x14ac:dyDescent="0.25">
      <c r="A1" t="s">
        <v>210</v>
      </c>
      <c r="B1" t="s">
        <v>211</v>
      </c>
      <c r="C1" t="s">
        <v>91</v>
      </c>
      <c r="H1" t="s">
        <v>234</v>
      </c>
    </row>
    <row r="2" spans="1:8" x14ac:dyDescent="0.25">
      <c r="A2" s="21">
        <v>45973</v>
      </c>
      <c r="B2" t="s">
        <v>212</v>
      </c>
      <c r="C2">
        <v>2580.16</v>
      </c>
      <c r="E2">
        <v>1</v>
      </c>
      <c r="H2" t="s">
        <v>235</v>
      </c>
    </row>
    <row r="3" spans="1:8" x14ac:dyDescent="0.25">
      <c r="A3" s="21">
        <v>45975</v>
      </c>
      <c r="B3" t="s">
        <v>213</v>
      </c>
      <c r="C3">
        <v>18284.27</v>
      </c>
      <c r="H3" t="s">
        <v>236</v>
      </c>
    </row>
    <row r="4" spans="1:8" x14ac:dyDescent="0.25">
      <c r="A4" s="21">
        <v>45986</v>
      </c>
      <c r="B4" t="s">
        <v>214</v>
      </c>
      <c r="C4">
        <v>13667.53</v>
      </c>
      <c r="H4" t="s">
        <v>237</v>
      </c>
    </row>
    <row r="5" spans="1:8" x14ac:dyDescent="0.25">
      <c r="A5" s="21">
        <v>45962</v>
      </c>
      <c r="B5" t="s">
        <v>215</v>
      </c>
      <c r="C5">
        <v>8868.2999999999993</v>
      </c>
    </row>
    <row r="6" spans="1:8" x14ac:dyDescent="0.25">
      <c r="A6" s="21">
        <v>45985</v>
      </c>
      <c r="B6" t="s">
        <v>216</v>
      </c>
      <c r="C6">
        <v>14733.14</v>
      </c>
    </row>
    <row r="7" spans="1:8" x14ac:dyDescent="0.25">
      <c r="A7" s="21">
        <v>45965</v>
      </c>
      <c r="B7" t="s">
        <v>217</v>
      </c>
      <c r="C7">
        <v>7260.58</v>
      </c>
    </row>
    <row r="8" spans="1:8" x14ac:dyDescent="0.25">
      <c r="A8" s="21">
        <v>45980</v>
      </c>
      <c r="B8" t="s">
        <v>218</v>
      </c>
      <c r="C8">
        <v>6555.02</v>
      </c>
    </row>
    <row r="9" spans="1:8" x14ac:dyDescent="0.25">
      <c r="A9" s="21">
        <v>45981</v>
      </c>
      <c r="B9" t="s">
        <v>219</v>
      </c>
      <c r="C9">
        <v>11204.9</v>
      </c>
    </row>
    <row r="10" spans="1:8" x14ac:dyDescent="0.25">
      <c r="A10" s="21">
        <v>45981</v>
      </c>
      <c r="B10" t="s">
        <v>220</v>
      </c>
      <c r="C10">
        <v>3728.47</v>
      </c>
    </row>
    <row r="11" spans="1:8" x14ac:dyDescent="0.25">
      <c r="A11" s="21">
        <v>45970</v>
      </c>
      <c r="B11" t="s">
        <v>221</v>
      </c>
      <c r="C11">
        <v>18575.14</v>
      </c>
    </row>
    <row r="12" spans="1:8" x14ac:dyDescent="0.25">
      <c r="A12" s="21">
        <v>45982</v>
      </c>
      <c r="B12" t="s">
        <v>222</v>
      </c>
      <c r="C12">
        <v>8317.0499999999993</v>
      </c>
    </row>
    <row r="13" spans="1:8" x14ac:dyDescent="0.25">
      <c r="A13" s="21">
        <v>45974</v>
      </c>
      <c r="B13" t="s">
        <v>223</v>
      </c>
      <c r="C13">
        <v>12601.79</v>
      </c>
    </row>
    <row r="14" spans="1:8" x14ac:dyDescent="0.25">
      <c r="A14" s="21">
        <v>45989</v>
      </c>
      <c r="B14" t="s">
        <v>212</v>
      </c>
      <c r="C14">
        <v>19015.57</v>
      </c>
    </row>
    <row r="15" spans="1:8" x14ac:dyDescent="0.25">
      <c r="A15" s="21">
        <v>45989</v>
      </c>
      <c r="B15" t="s">
        <v>224</v>
      </c>
      <c r="C15">
        <v>4093.3</v>
      </c>
    </row>
    <row r="16" spans="1:8" x14ac:dyDescent="0.25">
      <c r="A16" s="21">
        <v>45988</v>
      </c>
      <c r="B16" t="s">
        <v>225</v>
      </c>
      <c r="C16">
        <v>19787.27</v>
      </c>
    </row>
    <row r="17" spans="1:3" x14ac:dyDescent="0.25">
      <c r="A17" s="21">
        <v>45980</v>
      </c>
      <c r="B17" t="s">
        <v>226</v>
      </c>
      <c r="C17">
        <v>16131.78</v>
      </c>
    </row>
    <row r="18" spans="1:3" x14ac:dyDescent="0.25">
      <c r="A18" s="21">
        <v>45978</v>
      </c>
      <c r="B18" t="s">
        <v>227</v>
      </c>
      <c r="C18">
        <v>10917.9</v>
      </c>
    </row>
    <row r="19" spans="1:3" x14ac:dyDescent="0.25">
      <c r="A19" s="21">
        <v>45984</v>
      </c>
      <c r="B19" t="s">
        <v>228</v>
      </c>
      <c r="C19">
        <v>17730.7</v>
      </c>
    </row>
    <row r="20" spans="1:3" x14ac:dyDescent="0.25">
      <c r="A20" s="21">
        <v>45966</v>
      </c>
      <c r="B20" t="s">
        <v>222</v>
      </c>
      <c r="C20">
        <v>19945.04</v>
      </c>
    </row>
    <row r="21" spans="1:3" x14ac:dyDescent="0.25">
      <c r="A21" s="21">
        <v>45965</v>
      </c>
      <c r="B21" t="s">
        <v>219</v>
      </c>
      <c r="C21">
        <v>2642.59</v>
      </c>
    </row>
    <row r="22" spans="1:3" x14ac:dyDescent="0.25">
      <c r="A22" s="21">
        <v>45977</v>
      </c>
      <c r="B22" t="s">
        <v>229</v>
      </c>
      <c r="C22">
        <v>14442.27</v>
      </c>
    </row>
    <row r="23" spans="1:3" x14ac:dyDescent="0.25">
      <c r="A23" s="21">
        <v>45990</v>
      </c>
      <c r="B23" t="s">
        <v>214</v>
      </c>
      <c r="C23">
        <v>10656.61</v>
      </c>
    </row>
    <row r="24" spans="1:3" x14ac:dyDescent="0.25">
      <c r="A24" s="21">
        <v>45981</v>
      </c>
      <c r="B24" t="s">
        <v>221</v>
      </c>
      <c r="C24">
        <v>19694.189999999999</v>
      </c>
    </row>
    <row r="25" spans="1:3" x14ac:dyDescent="0.25">
      <c r="A25" s="21">
        <v>45976</v>
      </c>
      <c r="B25" t="s">
        <v>213</v>
      </c>
      <c r="C25">
        <v>1908.27</v>
      </c>
    </row>
    <row r="26" spans="1:3" x14ac:dyDescent="0.25">
      <c r="A26" s="21">
        <v>45972</v>
      </c>
      <c r="B26" t="s">
        <v>230</v>
      </c>
      <c r="C26">
        <v>11063.47</v>
      </c>
    </row>
    <row r="27" spans="1:3" x14ac:dyDescent="0.25">
      <c r="A27" s="21">
        <v>45976</v>
      </c>
      <c r="B27" t="s">
        <v>231</v>
      </c>
      <c r="C27">
        <v>11614.56</v>
      </c>
    </row>
    <row r="28" spans="1:3" x14ac:dyDescent="0.25">
      <c r="A28" s="21">
        <v>45964</v>
      </c>
      <c r="B28" t="s">
        <v>232</v>
      </c>
      <c r="C28">
        <v>9484.98</v>
      </c>
    </row>
    <row r="29" spans="1:3" x14ac:dyDescent="0.25">
      <c r="A29" s="21">
        <v>45970</v>
      </c>
      <c r="B29" t="s">
        <v>233</v>
      </c>
      <c r="C29">
        <v>1043.93</v>
      </c>
    </row>
    <row r="30" spans="1:3" x14ac:dyDescent="0.25">
      <c r="A30" s="21">
        <v>45964</v>
      </c>
      <c r="B30" t="s">
        <v>213</v>
      </c>
      <c r="C30">
        <v>9949.08</v>
      </c>
    </row>
    <row r="31" spans="1:3" x14ac:dyDescent="0.25">
      <c r="A31" s="21">
        <v>45982</v>
      </c>
      <c r="B31" t="s">
        <v>230</v>
      </c>
      <c r="C31">
        <v>1305.6099999999999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E1E1-FD39-44E8-A963-B588443C2BC0}">
  <dimension ref="A1:F21"/>
  <sheetViews>
    <sheetView zoomScale="160" zoomScaleNormal="160" workbookViewId="0">
      <selection activeCell="G3" sqref="G3"/>
    </sheetView>
  </sheetViews>
  <sheetFormatPr defaultRowHeight="15" x14ac:dyDescent="0.25"/>
  <cols>
    <col min="1" max="1" width="24.7109375" bestFit="1" customWidth="1"/>
  </cols>
  <sheetData>
    <row r="1" spans="1:6" x14ac:dyDescent="0.25">
      <c r="A1" t="s">
        <v>238</v>
      </c>
      <c r="B1" t="s">
        <v>239</v>
      </c>
      <c r="C1" t="s">
        <v>91</v>
      </c>
      <c r="F1" t="s">
        <v>263</v>
      </c>
    </row>
    <row r="2" spans="1:6" x14ac:dyDescent="0.25">
      <c r="A2" t="s">
        <v>240</v>
      </c>
      <c r="B2" t="s">
        <v>241</v>
      </c>
      <c r="C2">
        <v>164148</v>
      </c>
    </row>
    <row r="3" spans="1:6" x14ac:dyDescent="0.25">
      <c r="A3" t="s">
        <v>242</v>
      </c>
      <c r="B3" t="s">
        <v>243</v>
      </c>
      <c r="C3">
        <v>97686</v>
      </c>
    </row>
    <row r="4" spans="1:6" x14ac:dyDescent="0.25">
      <c r="A4" t="s">
        <v>244</v>
      </c>
      <c r="B4" t="s">
        <v>241</v>
      </c>
      <c r="C4">
        <v>322942</v>
      </c>
    </row>
    <row r="5" spans="1:6" x14ac:dyDescent="0.25">
      <c r="A5" t="s">
        <v>245</v>
      </c>
      <c r="B5" t="s">
        <v>246</v>
      </c>
      <c r="C5">
        <v>459434</v>
      </c>
    </row>
    <row r="6" spans="1:6" x14ac:dyDescent="0.25">
      <c r="A6" t="s">
        <v>247</v>
      </c>
      <c r="B6" t="s">
        <v>243</v>
      </c>
      <c r="C6">
        <v>74946</v>
      </c>
    </row>
    <row r="7" spans="1:6" x14ac:dyDescent="0.25">
      <c r="A7" t="s">
        <v>248</v>
      </c>
      <c r="B7" t="s">
        <v>246</v>
      </c>
      <c r="C7">
        <v>206011</v>
      </c>
    </row>
    <row r="8" spans="1:6" x14ac:dyDescent="0.25">
      <c r="A8" t="s">
        <v>249</v>
      </c>
      <c r="B8" t="s">
        <v>241</v>
      </c>
      <c r="C8">
        <v>409800</v>
      </c>
    </row>
    <row r="9" spans="1:6" x14ac:dyDescent="0.25">
      <c r="A9" t="s">
        <v>250</v>
      </c>
      <c r="B9" t="s">
        <v>246</v>
      </c>
      <c r="C9">
        <v>236242</v>
      </c>
    </row>
    <row r="10" spans="1:6" x14ac:dyDescent="0.25">
      <c r="A10" t="s">
        <v>251</v>
      </c>
      <c r="B10" t="s">
        <v>246</v>
      </c>
      <c r="C10">
        <v>462061</v>
      </c>
    </row>
    <row r="11" spans="1:6" x14ac:dyDescent="0.25">
      <c r="A11" t="s">
        <v>252</v>
      </c>
      <c r="B11" t="s">
        <v>246</v>
      </c>
      <c r="C11">
        <v>91838</v>
      </c>
    </row>
    <row r="12" spans="1:6" x14ac:dyDescent="0.25">
      <c r="A12" t="s">
        <v>253</v>
      </c>
      <c r="B12" t="s">
        <v>246</v>
      </c>
      <c r="C12">
        <v>335824</v>
      </c>
    </row>
    <row r="13" spans="1:6" x14ac:dyDescent="0.25">
      <c r="A13" t="s">
        <v>254</v>
      </c>
      <c r="B13" t="s">
        <v>241</v>
      </c>
      <c r="C13">
        <v>324333</v>
      </c>
    </row>
    <row r="14" spans="1:6" x14ac:dyDescent="0.25">
      <c r="A14" t="s">
        <v>255</v>
      </c>
      <c r="B14" t="s">
        <v>243</v>
      </c>
      <c r="C14">
        <v>372874</v>
      </c>
    </row>
    <row r="15" spans="1:6" x14ac:dyDescent="0.25">
      <c r="A15" t="s">
        <v>256</v>
      </c>
      <c r="B15" t="s">
        <v>241</v>
      </c>
      <c r="C15">
        <v>242592</v>
      </c>
    </row>
    <row r="16" spans="1:6" x14ac:dyDescent="0.25">
      <c r="A16" t="s">
        <v>257</v>
      </c>
      <c r="B16" t="s">
        <v>243</v>
      </c>
      <c r="C16">
        <v>335298</v>
      </c>
    </row>
    <row r="17" spans="1:3" x14ac:dyDescent="0.25">
      <c r="A17" t="s">
        <v>258</v>
      </c>
      <c r="B17" t="s">
        <v>246</v>
      </c>
      <c r="C17">
        <v>386290</v>
      </c>
    </row>
    <row r="18" spans="1:3" x14ac:dyDescent="0.25">
      <c r="A18" t="s">
        <v>259</v>
      </c>
      <c r="B18" t="s">
        <v>243</v>
      </c>
      <c r="C18">
        <v>417044</v>
      </c>
    </row>
    <row r="19" spans="1:3" x14ac:dyDescent="0.25">
      <c r="A19" t="s">
        <v>260</v>
      </c>
      <c r="B19" t="s">
        <v>246</v>
      </c>
      <c r="C19">
        <v>355429</v>
      </c>
    </row>
    <row r="20" spans="1:3" x14ac:dyDescent="0.25">
      <c r="A20" t="s">
        <v>261</v>
      </c>
      <c r="B20" t="s">
        <v>241</v>
      </c>
      <c r="C20">
        <v>281162</v>
      </c>
    </row>
    <row r="21" spans="1:3" x14ac:dyDescent="0.25">
      <c r="A21" t="s">
        <v>262</v>
      </c>
      <c r="B21" t="s">
        <v>241</v>
      </c>
      <c r="C21">
        <v>206420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4B0F-3CE3-407E-A200-FD1F8EA45AB0}">
  <dimension ref="A1:C21"/>
  <sheetViews>
    <sheetView zoomScale="175" zoomScaleNormal="175" workbookViewId="0">
      <selection activeCell="C5" sqref="C5"/>
    </sheetView>
  </sheetViews>
  <sheetFormatPr defaultRowHeight="15" x14ac:dyDescent="0.25"/>
  <cols>
    <col min="1" max="1" width="24.7109375" bestFit="1" customWidth="1"/>
  </cols>
  <sheetData>
    <row r="1" spans="1:3" x14ac:dyDescent="0.25">
      <c r="A1" t="s">
        <v>238</v>
      </c>
      <c r="B1" t="s">
        <v>239</v>
      </c>
      <c r="C1" t="s">
        <v>91</v>
      </c>
    </row>
    <row r="2" spans="1:3" x14ac:dyDescent="0.25">
      <c r="A2" t="s">
        <v>240</v>
      </c>
      <c r="B2" t="s">
        <v>241</v>
      </c>
      <c r="C2">
        <v>164148</v>
      </c>
    </row>
    <row r="3" spans="1:3" x14ac:dyDescent="0.25">
      <c r="A3" t="s">
        <v>242</v>
      </c>
      <c r="B3" t="s">
        <v>243</v>
      </c>
      <c r="C3">
        <v>97686</v>
      </c>
    </row>
    <row r="4" spans="1:3" x14ac:dyDescent="0.25">
      <c r="A4" t="s">
        <v>244</v>
      </c>
      <c r="B4" t="s">
        <v>241</v>
      </c>
      <c r="C4">
        <v>322942</v>
      </c>
    </row>
    <row r="5" spans="1:3" x14ac:dyDescent="0.25">
      <c r="A5" t="s">
        <v>245</v>
      </c>
      <c r="B5" t="s">
        <v>246</v>
      </c>
      <c r="C5">
        <v>459434</v>
      </c>
    </row>
    <row r="6" spans="1:3" x14ac:dyDescent="0.25">
      <c r="A6" t="s">
        <v>247</v>
      </c>
      <c r="B6" t="s">
        <v>243</v>
      </c>
      <c r="C6">
        <v>74946</v>
      </c>
    </row>
    <row r="7" spans="1:3" x14ac:dyDescent="0.25">
      <c r="A7" t="s">
        <v>248</v>
      </c>
      <c r="B7" t="s">
        <v>246</v>
      </c>
      <c r="C7">
        <v>206011</v>
      </c>
    </row>
    <row r="8" spans="1:3" x14ac:dyDescent="0.25">
      <c r="A8" t="s">
        <v>249</v>
      </c>
      <c r="B8" t="s">
        <v>241</v>
      </c>
      <c r="C8">
        <v>409800</v>
      </c>
    </row>
    <row r="9" spans="1:3" x14ac:dyDescent="0.25">
      <c r="A9" t="s">
        <v>250</v>
      </c>
      <c r="B9" t="s">
        <v>246</v>
      </c>
      <c r="C9">
        <v>236242</v>
      </c>
    </row>
    <row r="10" spans="1:3" x14ac:dyDescent="0.25">
      <c r="A10" t="s">
        <v>251</v>
      </c>
      <c r="B10" t="s">
        <v>246</v>
      </c>
      <c r="C10">
        <v>462061</v>
      </c>
    </row>
    <row r="11" spans="1:3" x14ac:dyDescent="0.25">
      <c r="A11" t="s">
        <v>252</v>
      </c>
      <c r="B11" t="s">
        <v>246</v>
      </c>
      <c r="C11">
        <v>91838</v>
      </c>
    </row>
    <row r="12" spans="1:3" x14ac:dyDescent="0.25">
      <c r="A12" t="s">
        <v>253</v>
      </c>
      <c r="B12" t="s">
        <v>246</v>
      </c>
      <c r="C12">
        <v>335824</v>
      </c>
    </row>
    <row r="13" spans="1:3" x14ac:dyDescent="0.25">
      <c r="A13" t="s">
        <v>254</v>
      </c>
      <c r="B13" t="s">
        <v>241</v>
      </c>
      <c r="C13">
        <v>324333</v>
      </c>
    </row>
    <row r="14" spans="1:3" x14ac:dyDescent="0.25">
      <c r="A14" t="s">
        <v>255</v>
      </c>
      <c r="B14" t="s">
        <v>243</v>
      </c>
      <c r="C14">
        <v>372874</v>
      </c>
    </row>
    <row r="15" spans="1:3" x14ac:dyDescent="0.25">
      <c r="A15" t="s">
        <v>256</v>
      </c>
      <c r="B15" t="s">
        <v>241</v>
      </c>
      <c r="C15">
        <v>242592</v>
      </c>
    </row>
    <row r="16" spans="1:3" x14ac:dyDescent="0.25">
      <c r="A16" t="s">
        <v>257</v>
      </c>
      <c r="B16" t="s">
        <v>243</v>
      </c>
      <c r="C16">
        <v>335298</v>
      </c>
    </row>
    <row r="17" spans="1:3" x14ac:dyDescent="0.25">
      <c r="A17" t="s">
        <v>258</v>
      </c>
      <c r="B17" t="s">
        <v>246</v>
      </c>
      <c r="C17">
        <v>386290</v>
      </c>
    </row>
    <row r="18" spans="1:3" x14ac:dyDescent="0.25">
      <c r="A18" t="s">
        <v>259</v>
      </c>
      <c r="B18" t="s">
        <v>243</v>
      </c>
      <c r="C18">
        <v>417044</v>
      </c>
    </row>
    <row r="19" spans="1:3" x14ac:dyDescent="0.25">
      <c r="A19" t="s">
        <v>260</v>
      </c>
      <c r="B19" t="s">
        <v>246</v>
      </c>
      <c r="C19">
        <v>355429</v>
      </c>
    </row>
    <row r="20" spans="1:3" x14ac:dyDescent="0.25">
      <c r="A20" t="s">
        <v>261</v>
      </c>
      <c r="B20" t="s">
        <v>241</v>
      </c>
      <c r="C20">
        <v>281162</v>
      </c>
    </row>
    <row r="21" spans="1:3" x14ac:dyDescent="0.25">
      <c r="A21" t="s">
        <v>262</v>
      </c>
      <c r="B21" t="s">
        <v>241</v>
      </c>
      <c r="C21">
        <v>206420</v>
      </c>
    </row>
  </sheetData>
  <conditionalFormatting sqref="A2:C21">
    <cfRule type="expression" dxfId="0" priority="1">
      <formula>$B2="High"</formula>
    </cfRule>
  </conditionalFormatting>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9DD6F-DB75-4924-8B24-8CAD8F0E7FE9}">
  <sheetPr codeName="Sheet22"/>
  <dimension ref="A1:L12"/>
  <sheetViews>
    <sheetView zoomScale="130" zoomScaleNormal="130" workbookViewId="0">
      <selection activeCell="K3" sqref="K3"/>
    </sheetView>
  </sheetViews>
  <sheetFormatPr defaultRowHeight="15" x14ac:dyDescent="0.25"/>
  <cols>
    <col min="1" max="1" width="10.28515625" bestFit="1" customWidth="1"/>
    <col min="2" max="2" width="13.42578125" bestFit="1" customWidth="1"/>
    <col min="3" max="3" width="17.7109375" bestFit="1" customWidth="1"/>
    <col min="8" max="8" width="10.28515625" bestFit="1" customWidth="1"/>
    <col min="9" max="9" width="13.42578125" bestFit="1" customWidth="1"/>
    <col min="10" max="10" width="10.28515625" bestFit="1" customWidth="1"/>
  </cols>
  <sheetData>
    <row r="1" spans="1:12" x14ac:dyDescent="0.25">
      <c r="A1" t="s">
        <v>102</v>
      </c>
      <c r="B1" t="s">
        <v>103</v>
      </c>
      <c r="C1" t="s">
        <v>104</v>
      </c>
      <c r="H1" t="s">
        <v>102</v>
      </c>
      <c r="I1" t="s">
        <v>103</v>
      </c>
      <c r="J1" t="s">
        <v>114</v>
      </c>
      <c r="K1" t="s">
        <v>113</v>
      </c>
      <c r="L1" t="s">
        <v>91</v>
      </c>
    </row>
    <row r="2" spans="1:12" x14ac:dyDescent="0.25">
      <c r="A2" t="s">
        <v>105</v>
      </c>
      <c r="B2" t="s">
        <v>106</v>
      </c>
      <c r="C2">
        <v>1000</v>
      </c>
      <c r="H2" t="s">
        <v>107</v>
      </c>
      <c r="I2" t="str">
        <f t="shared" ref="I2:J5" si="0">VLOOKUP($H2,$A$2:$C$5,2,0)</f>
        <v>Machine B</v>
      </c>
      <c r="J2">
        <f t="shared" ref="J2:J5" si="1">VLOOKUP($H2,$A$2:$C$5,3,0)</f>
        <v>850</v>
      </c>
      <c r="K2">
        <f>VLOOKUP(H2,$A$9:$B$12,2,0)</f>
        <v>492000</v>
      </c>
    </row>
    <row r="3" spans="1:12" x14ac:dyDescent="0.25">
      <c r="A3" t="s">
        <v>107</v>
      </c>
      <c r="B3" t="s">
        <v>108</v>
      </c>
      <c r="C3">
        <v>850</v>
      </c>
      <c r="H3" t="s">
        <v>109</v>
      </c>
      <c r="I3" t="str">
        <f t="shared" si="0"/>
        <v>Machine C</v>
      </c>
      <c r="J3">
        <f t="shared" si="1"/>
        <v>1200</v>
      </c>
      <c r="K3">
        <f t="shared" ref="K3:K5" si="2">VLOOKUP(H3,$A$9:$B$12,2,0)</f>
        <v>77000</v>
      </c>
    </row>
    <row r="4" spans="1:12" x14ac:dyDescent="0.25">
      <c r="A4" t="s">
        <v>109</v>
      </c>
      <c r="B4" t="s">
        <v>110</v>
      </c>
      <c r="C4">
        <v>1200</v>
      </c>
      <c r="H4" t="s">
        <v>105</v>
      </c>
      <c r="I4" t="str">
        <f t="shared" si="0"/>
        <v>Machine A</v>
      </c>
      <c r="J4">
        <f t="shared" si="1"/>
        <v>1000</v>
      </c>
      <c r="K4">
        <f t="shared" si="2"/>
        <v>85000</v>
      </c>
    </row>
    <row r="5" spans="1:12" x14ac:dyDescent="0.25">
      <c r="A5" t="s">
        <v>111</v>
      </c>
      <c r="B5" t="s">
        <v>112</v>
      </c>
      <c r="C5">
        <v>700</v>
      </c>
      <c r="H5" t="s">
        <v>111</v>
      </c>
      <c r="I5" t="str">
        <f t="shared" si="0"/>
        <v>Machine D</v>
      </c>
      <c r="J5">
        <f t="shared" si="1"/>
        <v>700</v>
      </c>
      <c r="K5">
        <f t="shared" si="2"/>
        <v>415000</v>
      </c>
    </row>
    <row r="8" spans="1:12" x14ac:dyDescent="0.25">
      <c r="A8" t="s">
        <v>102</v>
      </c>
      <c r="B8" t="s">
        <v>113</v>
      </c>
    </row>
    <row r="9" spans="1:12" x14ac:dyDescent="0.25">
      <c r="A9" t="s">
        <v>105</v>
      </c>
      <c r="B9">
        <v>85000</v>
      </c>
    </row>
    <row r="10" spans="1:12" x14ac:dyDescent="0.25">
      <c r="A10" t="s">
        <v>107</v>
      </c>
      <c r="B10">
        <v>492000</v>
      </c>
    </row>
    <row r="11" spans="1:12" x14ac:dyDescent="0.25">
      <c r="A11" t="s">
        <v>109</v>
      </c>
      <c r="B11">
        <v>77000</v>
      </c>
    </row>
    <row r="12" spans="1:12" x14ac:dyDescent="0.25">
      <c r="A12" t="s">
        <v>111</v>
      </c>
      <c r="B12">
        <v>415000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2E2D-FAE9-4DE8-AC46-C7D94E6772F7}">
  <sheetPr codeName="Sheet23"/>
  <dimension ref="A1:C12"/>
  <sheetViews>
    <sheetView zoomScale="130" zoomScaleNormal="130" workbookViewId="0"/>
  </sheetViews>
  <sheetFormatPr defaultRowHeight="15" x14ac:dyDescent="0.25"/>
  <cols>
    <col min="1" max="1" width="10.28515625" bestFit="1" customWidth="1"/>
    <col min="2" max="2" width="13.42578125" bestFit="1" customWidth="1"/>
    <col min="3" max="3" width="17.7109375" bestFit="1" customWidth="1"/>
    <col min="8" max="8" width="10.28515625" bestFit="1" customWidth="1"/>
    <col min="9" max="9" width="13.42578125" bestFit="1" customWidth="1"/>
  </cols>
  <sheetData>
    <row r="1" spans="1:3" x14ac:dyDescent="0.25">
      <c r="A1" t="s">
        <v>102</v>
      </c>
      <c r="B1" t="s">
        <v>103</v>
      </c>
      <c r="C1" t="s">
        <v>104</v>
      </c>
    </row>
    <row r="2" spans="1:3" x14ac:dyDescent="0.25">
      <c r="A2" t="s">
        <v>105</v>
      </c>
      <c r="B2" t="s">
        <v>106</v>
      </c>
      <c r="C2">
        <v>1000</v>
      </c>
    </row>
    <row r="3" spans="1:3" x14ac:dyDescent="0.25">
      <c r="A3" t="s">
        <v>107</v>
      </c>
      <c r="B3" t="s">
        <v>108</v>
      </c>
      <c r="C3">
        <v>850</v>
      </c>
    </row>
    <row r="4" spans="1:3" x14ac:dyDescent="0.25">
      <c r="A4" t="s">
        <v>109</v>
      </c>
      <c r="B4" t="s">
        <v>110</v>
      </c>
      <c r="C4">
        <v>1200</v>
      </c>
    </row>
    <row r="5" spans="1:3" x14ac:dyDescent="0.25">
      <c r="A5" t="s">
        <v>111</v>
      </c>
      <c r="B5" t="s">
        <v>112</v>
      </c>
      <c r="C5">
        <v>700</v>
      </c>
    </row>
    <row r="8" spans="1:3" x14ac:dyDescent="0.25">
      <c r="A8" t="s">
        <v>102</v>
      </c>
      <c r="B8" t="s">
        <v>113</v>
      </c>
    </row>
    <row r="9" spans="1:3" x14ac:dyDescent="0.25">
      <c r="A9" t="s">
        <v>105</v>
      </c>
      <c r="B9">
        <v>85000</v>
      </c>
    </row>
    <row r="10" spans="1:3" x14ac:dyDescent="0.25">
      <c r="A10" t="s">
        <v>107</v>
      </c>
      <c r="B10">
        <v>492000</v>
      </c>
    </row>
    <row r="11" spans="1:3" x14ac:dyDescent="0.25">
      <c r="A11" t="s">
        <v>109</v>
      </c>
      <c r="B11">
        <v>77000</v>
      </c>
    </row>
    <row r="12" spans="1:3" x14ac:dyDescent="0.25">
      <c r="A12" t="s">
        <v>111</v>
      </c>
      <c r="B12">
        <v>415000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F035-5423-4EAD-BC68-009474E7BD4E}">
  <sheetPr codeName="Sheet24"/>
  <dimension ref="A1:E5"/>
  <sheetViews>
    <sheetView zoomScale="130" zoomScaleNormal="130" workbookViewId="0">
      <selection activeCell="D5" sqref="D5"/>
    </sheetView>
  </sheetViews>
  <sheetFormatPr defaultRowHeight="15" x14ac:dyDescent="0.25"/>
  <cols>
    <col min="1" max="1" width="10.28515625" bestFit="1" customWidth="1"/>
    <col min="2" max="2" width="13.42578125" bestFit="1" customWidth="1"/>
  </cols>
  <sheetData>
    <row r="1" spans="1:5" x14ac:dyDescent="0.25">
      <c r="A1" t="s">
        <v>102</v>
      </c>
      <c r="B1" t="s">
        <v>103</v>
      </c>
      <c r="C1" t="s">
        <v>114</v>
      </c>
      <c r="D1" t="s">
        <v>113</v>
      </c>
      <c r="E1" t="s">
        <v>91</v>
      </c>
    </row>
    <row r="2" spans="1:5" x14ac:dyDescent="0.25">
      <c r="A2" t="s">
        <v>107</v>
      </c>
    </row>
    <row r="3" spans="1:5" x14ac:dyDescent="0.25">
      <c r="A3" t="s">
        <v>109</v>
      </c>
    </row>
    <row r="4" spans="1:5" x14ac:dyDescent="0.25">
      <c r="A4" t="s">
        <v>105</v>
      </c>
    </row>
    <row r="5" spans="1:5" x14ac:dyDescent="0.25">
      <c r="A5" t="s">
        <v>111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7CAA-C959-4CBD-93A3-E8A92D94C6FC}">
  <sheetPr codeName="Sheet28"/>
  <dimension ref="A1:G21"/>
  <sheetViews>
    <sheetView zoomScale="190" zoomScaleNormal="190" workbookViewId="0">
      <selection activeCell="C3" sqref="C3"/>
    </sheetView>
  </sheetViews>
  <sheetFormatPr defaultRowHeight="15" x14ac:dyDescent="0.25"/>
  <cols>
    <col min="1" max="1" width="9.7109375" bestFit="1" customWidth="1"/>
    <col min="2" max="2" width="9.42578125" bestFit="1" customWidth="1"/>
    <col min="3" max="3" width="12.5703125" bestFit="1" customWidth="1"/>
    <col min="4" max="4" width="29.7109375" bestFit="1" customWidth="1"/>
  </cols>
  <sheetData>
    <row r="1" spans="1:7" x14ac:dyDescent="0.25">
      <c r="A1" t="s">
        <v>170</v>
      </c>
      <c r="B1" t="s">
        <v>171</v>
      </c>
      <c r="C1" t="s">
        <v>36</v>
      </c>
      <c r="D1" t="s">
        <v>264</v>
      </c>
      <c r="G1" t="s">
        <v>265</v>
      </c>
    </row>
    <row r="2" spans="1:7" x14ac:dyDescent="0.25">
      <c r="A2" t="s">
        <v>128</v>
      </c>
      <c r="B2" t="s">
        <v>138</v>
      </c>
      <c r="C2" t="s">
        <v>45</v>
      </c>
      <c r="D2" t="s">
        <v>117</v>
      </c>
    </row>
    <row r="3" spans="1:7" x14ac:dyDescent="0.25">
      <c r="A3" t="s">
        <v>129</v>
      </c>
      <c r="B3" t="s">
        <v>139</v>
      </c>
      <c r="C3" t="s">
        <v>48</v>
      </c>
      <c r="D3" t="s">
        <v>118</v>
      </c>
    </row>
    <row r="4" spans="1:7" x14ac:dyDescent="0.25">
      <c r="A4" t="s">
        <v>130</v>
      </c>
      <c r="B4" t="s">
        <v>140</v>
      </c>
      <c r="C4" t="s">
        <v>147</v>
      </c>
      <c r="D4" t="s">
        <v>172</v>
      </c>
    </row>
    <row r="5" spans="1:7" x14ac:dyDescent="0.25">
      <c r="A5" t="s">
        <v>131</v>
      </c>
      <c r="B5" t="s">
        <v>141</v>
      </c>
      <c r="C5" t="s">
        <v>148</v>
      </c>
      <c r="D5" t="s">
        <v>119</v>
      </c>
    </row>
    <row r="6" spans="1:7" x14ac:dyDescent="0.25">
      <c r="A6" t="s">
        <v>132</v>
      </c>
      <c r="B6" t="s">
        <v>142</v>
      </c>
      <c r="C6" t="s">
        <v>149</v>
      </c>
      <c r="D6" t="s">
        <v>120</v>
      </c>
    </row>
    <row r="7" spans="1:7" x14ac:dyDescent="0.25">
      <c r="A7" t="s">
        <v>133</v>
      </c>
      <c r="B7" t="s">
        <v>116</v>
      </c>
      <c r="C7" t="s">
        <v>150</v>
      </c>
      <c r="D7" t="s">
        <v>173</v>
      </c>
    </row>
    <row r="8" spans="1:7" x14ac:dyDescent="0.25">
      <c r="A8" t="s">
        <v>134</v>
      </c>
      <c r="B8" t="s">
        <v>143</v>
      </c>
      <c r="C8" t="s">
        <v>45</v>
      </c>
      <c r="D8" t="s">
        <v>121</v>
      </c>
    </row>
    <row r="9" spans="1:7" x14ac:dyDescent="0.25">
      <c r="A9" t="s">
        <v>135</v>
      </c>
      <c r="B9" t="s">
        <v>144</v>
      </c>
      <c r="C9" t="s">
        <v>148</v>
      </c>
      <c r="D9" t="s">
        <v>122</v>
      </c>
    </row>
    <row r="10" spans="1:7" x14ac:dyDescent="0.25">
      <c r="A10" t="s">
        <v>136</v>
      </c>
      <c r="B10" t="s">
        <v>145</v>
      </c>
      <c r="C10" t="s">
        <v>48</v>
      </c>
      <c r="D10" t="s">
        <v>123</v>
      </c>
    </row>
    <row r="11" spans="1:7" x14ac:dyDescent="0.25">
      <c r="A11" t="s">
        <v>137</v>
      </c>
      <c r="B11" t="s">
        <v>146</v>
      </c>
      <c r="C11" t="s">
        <v>151</v>
      </c>
      <c r="D11" t="s">
        <v>124</v>
      </c>
    </row>
    <row r="12" spans="1:7" x14ac:dyDescent="0.25">
      <c r="A12" t="s">
        <v>152</v>
      </c>
      <c r="B12" t="s">
        <v>140</v>
      </c>
      <c r="C12" t="s">
        <v>147</v>
      </c>
      <c r="D12" t="s">
        <v>174</v>
      </c>
    </row>
    <row r="13" spans="1:7" x14ac:dyDescent="0.25">
      <c r="A13" t="s">
        <v>153</v>
      </c>
      <c r="B13" t="s">
        <v>116</v>
      </c>
      <c r="C13" t="s">
        <v>150</v>
      </c>
      <c r="D13" t="s">
        <v>175</v>
      </c>
    </row>
    <row r="14" spans="1:7" x14ac:dyDescent="0.25">
      <c r="A14" t="s">
        <v>154</v>
      </c>
      <c r="B14" t="s">
        <v>162</v>
      </c>
      <c r="C14" t="s">
        <v>167</v>
      </c>
      <c r="D14" t="s">
        <v>176</v>
      </c>
    </row>
    <row r="15" spans="1:7" x14ac:dyDescent="0.25">
      <c r="A15" t="s">
        <v>155</v>
      </c>
      <c r="B15" t="s">
        <v>163</v>
      </c>
      <c r="C15" t="s">
        <v>148</v>
      </c>
      <c r="D15" t="s">
        <v>125</v>
      </c>
    </row>
    <row r="16" spans="1:7" x14ac:dyDescent="0.25">
      <c r="A16" t="s">
        <v>156</v>
      </c>
      <c r="B16" t="s">
        <v>164</v>
      </c>
      <c r="C16" t="s">
        <v>48</v>
      </c>
      <c r="D16" t="s">
        <v>126</v>
      </c>
    </row>
    <row r="17" spans="1:4" x14ac:dyDescent="0.25">
      <c r="A17" t="s">
        <v>157</v>
      </c>
      <c r="B17" t="s">
        <v>115</v>
      </c>
      <c r="C17" t="s">
        <v>168</v>
      </c>
      <c r="D17" t="s">
        <v>177</v>
      </c>
    </row>
    <row r="18" spans="1:4" x14ac:dyDescent="0.25">
      <c r="A18" t="s">
        <v>158</v>
      </c>
      <c r="B18" t="s">
        <v>165</v>
      </c>
      <c r="C18" t="s">
        <v>167</v>
      </c>
      <c r="D18" t="s">
        <v>127</v>
      </c>
    </row>
    <row r="19" spans="1:4" x14ac:dyDescent="0.25">
      <c r="A19" t="s">
        <v>159</v>
      </c>
      <c r="B19" t="s">
        <v>166</v>
      </c>
      <c r="C19" t="s">
        <v>169</v>
      </c>
      <c r="D19" t="s">
        <v>178</v>
      </c>
    </row>
    <row r="20" spans="1:4" x14ac:dyDescent="0.25">
      <c r="A20" t="s">
        <v>160</v>
      </c>
      <c r="B20" t="s">
        <v>115</v>
      </c>
      <c r="C20" t="s">
        <v>168</v>
      </c>
      <c r="D20" t="s">
        <v>179</v>
      </c>
    </row>
    <row r="21" spans="1:4" x14ac:dyDescent="0.25">
      <c r="A21" t="s">
        <v>161</v>
      </c>
      <c r="B21" t="s">
        <v>116</v>
      </c>
      <c r="C21" t="s">
        <v>150</v>
      </c>
      <c r="D21" t="s">
        <v>180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AB03-4393-4766-9E3F-3252C1DD61EE}">
  <dimension ref="A1:E21"/>
  <sheetViews>
    <sheetView zoomScale="160" zoomScaleNormal="160" workbookViewId="0">
      <selection activeCell="H2" sqref="H2"/>
    </sheetView>
  </sheetViews>
  <sheetFormatPr defaultRowHeight="15" x14ac:dyDescent="0.25"/>
  <cols>
    <col min="1" max="1" width="9.7109375" bestFit="1" customWidth="1"/>
    <col min="2" max="2" width="9.42578125" bestFit="1" customWidth="1"/>
    <col min="3" max="3" width="12.5703125" bestFit="1" customWidth="1"/>
    <col min="4" max="4" width="29.7109375" bestFit="1" customWidth="1"/>
  </cols>
  <sheetData>
    <row r="1" spans="1:5" x14ac:dyDescent="0.25">
      <c r="A1" t="s">
        <v>170</v>
      </c>
      <c r="B1" t="s">
        <v>171</v>
      </c>
      <c r="C1" t="s">
        <v>36</v>
      </c>
      <c r="D1" t="s">
        <v>286</v>
      </c>
      <c r="E1" s="22" t="s">
        <v>297</v>
      </c>
    </row>
    <row r="2" spans="1:5" x14ac:dyDescent="0.25">
      <c r="A2" t="s">
        <v>128</v>
      </c>
      <c r="B2" t="s">
        <v>138</v>
      </c>
      <c r="C2" t="s">
        <v>45</v>
      </c>
      <c r="D2" t="s">
        <v>266</v>
      </c>
      <c r="E2" s="22" t="s">
        <v>276</v>
      </c>
    </row>
    <row r="3" spans="1:5" x14ac:dyDescent="0.25">
      <c r="A3" t="s">
        <v>129</v>
      </c>
      <c r="B3" t="s">
        <v>139</v>
      </c>
      <c r="C3" t="s">
        <v>48</v>
      </c>
      <c r="D3" t="s">
        <v>267</v>
      </c>
      <c r="E3" s="22" t="s">
        <v>277</v>
      </c>
    </row>
    <row r="4" spans="1:5" x14ac:dyDescent="0.25">
      <c r="A4" t="s">
        <v>130</v>
      </c>
      <c r="B4" t="s">
        <v>140</v>
      </c>
      <c r="C4" t="s">
        <v>147</v>
      </c>
      <c r="D4" t="s">
        <v>268</v>
      </c>
      <c r="E4" s="22" t="s">
        <v>278</v>
      </c>
    </row>
    <row r="5" spans="1:5" x14ac:dyDescent="0.25">
      <c r="A5" t="s">
        <v>131</v>
      </c>
      <c r="B5" t="s">
        <v>141</v>
      </c>
      <c r="C5" t="s">
        <v>148</v>
      </c>
      <c r="D5" t="s">
        <v>269</v>
      </c>
      <c r="E5" s="22" t="s">
        <v>279</v>
      </c>
    </row>
    <row r="6" spans="1:5" x14ac:dyDescent="0.25">
      <c r="A6" t="s">
        <v>132</v>
      </c>
      <c r="B6" t="s">
        <v>142</v>
      </c>
      <c r="C6" t="s">
        <v>149</v>
      </c>
      <c r="D6" t="s">
        <v>270</v>
      </c>
      <c r="E6" s="22" t="s">
        <v>280</v>
      </c>
    </row>
    <row r="7" spans="1:5" x14ac:dyDescent="0.25">
      <c r="A7" t="s">
        <v>133</v>
      </c>
      <c r="B7" t="s">
        <v>116</v>
      </c>
      <c r="C7" t="s">
        <v>150</v>
      </c>
      <c r="D7" t="s">
        <v>271</v>
      </c>
      <c r="E7" s="22" t="s">
        <v>281</v>
      </c>
    </row>
    <row r="8" spans="1:5" x14ac:dyDescent="0.25">
      <c r="A8" t="s">
        <v>134</v>
      </c>
      <c r="B8" t="s">
        <v>143</v>
      </c>
      <c r="C8" t="s">
        <v>45</v>
      </c>
      <c r="D8" t="s">
        <v>272</v>
      </c>
      <c r="E8" s="22" t="s">
        <v>282</v>
      </c>
    </row>
    <row r="9" spans="1:5" x14ac:dyDescent="0.25">
      <c r="A9" t="s">
        <v>135</v>
      </c>
      <c r="B9" t="s">
        <v>144</v>
      </c>
      <c r="C9" t="s">
        <v>148</v>
      </c>
      <c r="D9" t="s">
        <v>273</v>
      </c>
      <c r="E9" s="22" t="s">
        <v>283</v>
      </c>
    </row>
    <row r="10" spans="1:5" x14ac:dyDescent="0.25">
      <c r="A10" t="s">
        <v>136</v>
      </c>
      <c r="B10" t="s">
        <v>145</v>
      </c>
      <c r="C10" t="s">
        <v>48</v>
      </c>
      <c r="D10" t="s">
        <v>274</v>
      </c>
      <c r="E10" s="22" t="s">
        <v>284</v>
      </c>
    </row>
    <row r="11" spans="1:5" x14ac:dyDescent="0.25">
      <c r="A11" t="s">
        <v>137</v>
      </c>
      <c r="B11" t="s">
        <v>146</v>
      </c>
      <c r="C11" t="s">
        <v>151</v>
      </c>
      <c r="D11" t="s">
        <v>275</v>
      </c>
      <c r="E11" s="22" t="s">
        <v>285</v>
      </c>
    </row>
    <row r="12" spans="1:5" x14ac:dyDescent="0.25">
      <c r="A12" t="s">
        <v>152</v>
      </c>
      <c r="B12" t="s">
        <v>140</v>
      </c>
      <c r="C12" t="s">
        <v>147</v>
      </c>
      <c r="D12" t="s">
        <v>287</v>
      </c>
      <c r="E12" s="22" t="s">
        <v>298</v>
      </c>
    </row>
    <row r="13" spans="1:5" x14ac:dyDescent="0.25">
      <c r="A13" t="s">
        <v>153</v>
      </c>
      <c r="B13" t="s">
        <v>116</v>
      </c>
      <c r="C13" t="s">
        <v>150</v>
      </c>
      <c r="D13" t="s">
        <v>288</v>
      </c>
      <c r="E13" s="22" t="s">
        <v>299</v>
      </c>
    </row>
    <row r="14" spans="1:5" x14ac:dyDescent="0.25">
      <c r="A14" t="s">
        <v>154</v>
      </c>
      <c r="B14" t="s">
        <v>162</v>
      </c>
      <c r="C14" t="s">
        <v>167</v>
      </c>
      <c r="D14" t="s">
        <v>289</v>
      </c>
      <c r="E14" s="22" t="s">
        <v>300</v>
      </c>
    </row>
    <row r="15" spans="1:5" x14ac:dyDescent="0.25">
      <c r="A15" t="s">
        <v>155</v>
      </c>
      <c r="B15" t="s">
        <v>163</v>
      </c>
      <c r="C15" t="s">
        <v>148</v>
      </c>
      <c r="D15" t="s">
        <v>290</v>
      </c>
      <c r="E15" s="22" t="s">
        <v>301</v>
      </c>
    </row>
    <row r="16" spans="1:5" x14ac:dyDescent="0.25">
      <c r="A16" t="s">
        <v>156</v>
      </c>
      <c r="B16" t="s">
        <v>164</v>
      </c>
      <c r="C16" t="s">
        <v>48</v>
      </c>
      <c r="D16" t="s">
        <v>291</v>
      </c>
      <c r="E16" s="22" t="s">
        <v>302</v>
      </c>
    </row>
    <row r="17" spans="1:5" x14ac:dyDescent="0.25">
      <c r="A17" t="s">
        <v>157</v>
      </c>
      <c r="B17" t="s">
        <v>115</v>
      </c>
      <c r="C17" t="s">
        <v>168</v>
      </c>
      <c r="D17" t="s">
        <v>292</v>
      </c>
      <c r="E17" s="22" t="s">
        <v>303</v>
      </c>
    </row>
    <row r="18" spans="1:5" x14ac:dyDescent="0.25">
      <c r="A18" t="s">
        <v>158</v>
      </c>
      <c r="B18" t="s">
        <v>165</v>
      </c>
      <c r="C18" t="s">
        <v>167</v>
      </c>
      <c r="D18" t="s">
        <v>293</v>
      </c>
      <c r="E18" s="22" t="s">
        <v>304</v>
      </c>
    </row>
    <row r="19" spans="1:5" x14ac:dyDescent="0.25">
      <c r="A19" t="s">
        <v>159</v>
      </c>
      <c r="B19" t="s">
        <v>166</v>
      </c>
      <c r="C19" t="s">
        <v>169</v>
      </c>
      <c r="D19" t="s">
        <v>294</v>
      </c>
      <c r="E19" s="22" t="s">
        <v>305</v>
      </c>
    </row>
    <row r="20" spans="1:5" x14ac:dyDescent="0.25">
      <c r="A20" t="s">
        <v>160</v>
      </c>
      <c r="B20" t="s">
        <v>115</v>
      </c>
      <c r="C20" t="s">
        <v>168</v>
      </c>
      <c r="D20" t="s">
        <v>295</v>
      </c>
      <c r="E20" s="22" t="s">
        <v>306</v>
      </c>
    </row>
    <row r="21" spans="1:5" x14ac:dyDescent="0.25">
      <c r="A21" t="s">
        <v>161</v>
      </c>
      <c r="B21" t="s">
        <v>116</v>
      </c>
      <c r="C21" t="s">
        <v>150</v>
      </c>
      <c r="D21" t="s">
        <v>296</v>
      </c>
      <c r="E21" s="22" t="s">
        <v>307</v>
      </c>
    </row>
  </sheetData>
  <hyperlinks>
    <hyperlink ref="E2" r:id="rId1" xr:uid="{8FE50431-3FF4-40D0-BAF2-B480D9590DA8}"/>
    <hyperlink ref="E3" r:id="rId2" xr:uid="{21B3CB11-5F6A-457E-9B31-04132E0F7549}"/>
    <hyperlink ref="E4" r:id="rId3" xr:uid="{17BB2880-9CEC-4341-A932-B4560DA08704}"/>
    <hyperlink ref="E5" r:id="rId4" xr:uid="{FAEFE023-4A0B-4A5D-BABC-2A1F160A8D33}"/>
    <hyperlink ref="E6" r:id="rId5" xr:uid="{E50769F2-69BE-42D1-A448-AAF7FAC4AEB0}"/>
    <hyperlink ref="E7" r:id="rId6" xr:uid="{65DFBE4F-4F70-46D6-9DE5-32872561BB60}"/>
    <hyperlink ref="E8" r:id="rId7" xr:uid="{7D0D2272-51F9-41FF-82E8-3D66311AEC18}"/>
    <hyperlink ref="E9" r:id="rId8" xr:uid="{202574A7-E8F0-44C8-9123-E6F2383056C5}"/>
    <hyperlink ref="E10" r:id="rId9" xr:uid="{0F400734-8998-4350-B693-723C0450D030}"/>
    <hyperlink ref="E11" r:id="rId10" xr:uid="{4C3A052A-3D69-4DCD-8592-70E85DB3CC23}"/>
    <hyperlink ref="E12" r:id="rId11" xr:uid="{5BB7C3FD-867B-464A-86DF-225C90DD1E8B}"/>
    <hyperlink ref="E13" r:id="rId12" xr:uid="{84F6B7D6-A3EB-4A27-928A-43DE231715E3}"/>
    <hyperlink ref="E14" r:id="rId13" xr:uid="{A0CE4FBC-32A8-4E0E-BA0B-12D73401019F}"/>
    <hyperlink ref="E15" r:id="rId14" xr:uid="{E6542E02-C319-408D-80F0-981F8E15881D}"/>
    <hyperlink ref="E16" r:id="rId15" xr:uid="{4523DFF6-9948-45A4-9EA3-9F19F5332DE3}"/>
    <hyperlink ref="E17" r:id="rId16" xr:uid="{AF22EAFA-3245-4C97-B8E3-ED7EAAB10F4F}"/>
    <hyperlink ref="E18" r:id="rId17" xr:uid="{40BC2601-A8E9-4C9E-9CF3-54771D246BB7}"/>
    <hyperlink ref="E19" r:id="rId18" xr:uid="{E03E394D-C985-431A-92CD-96DF39B0EAD3}"/>
    <hyperlink ref="E20" r:id="rId19" xr:uid="{5EA34E3C-04BB-4058-A7D4-50498A624819}"/>
    <hyperlink ref="E21" r:id="rId20" xr:uid="{6DB746E0-114C-4B84-993C-C220ECA1971C}"/>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4808-3DDA-4C2C-8C16-3840FB2EE101}">
  <dimension ref="A1:E21"/>
  <sheetViews>
    <sheetView zoomScale="190" zoomScaleNormal="190" workbookViewId="0">
      <selection activeCell="D2" sqref="D2"/>
    </sheetView>
  </sheetViews>
  <sheetFormatPr defaultRowHeight="15" x14ac:dyDescent="0.25"/>
  <cols>
    <col min="1" max="1" width="9.7109375" bestFit="1" customWidth="1"/>
    <col min="2" max="2" width="9.42578125" bestFit="1" customWidth="1"/>
    <col min="3" max="3" width="12.5703125" bestFit="1" customWidth="1"/>
    <col min="4" max="4" width="29.7109375" bestFit="1" customWidth="1"/>
  </cols>
  <sheetData>
    <row r="1" spans="1:5" x14ac:dyDescent="0.25">
      <c r="A1" t="s">
        <v>170</v>
      </c>
      <c r="B1" t="s">
        <v>171</v>
      </c>
      <c r="C1" t="s">
        <v>36</v>
      </c>
      <c r="D1" t="s">
        <v>308</v>
      </c>
      <c r="E1" s="22"/>
    </row>
    <row r="2" spans="1:5" x14ac:dyDescent="0.25">
      <c r="A2" t="s">
        <v>128</v>
      </c>
      <c r="B2" t="s">
        <v>138</v>
      </c>
      <c r="C2" t="s">
        <v>45</v>
      </c>
      <c r="D2" s="22" t="str">
        <f>LOWER(A2 &amp; "." &amp; B2 &amp; "@gmail.com")</f>
        <v>virat.kohli@gmail.com</v>
      </c>
      <c r="E2" s="22"/>
    </row>
    <row r="3" spans="1:5" x14ac:dyDescent="0.25">
      <c r="A3" t="s">
        <v>129</v>
      </c>
      <c r="B3" t="s">
        <v>139</v>
      </c>
      <c r="C3" t="s">
        <v>48</v>
      </c>
      <c r="D3" s="22" t="str">
        <f t="shared" ref="D3:D21" si="0">LOWER(A3 &amp; "." &amp; B3 &amp; "@gmail.com")</f>
        <v>steve.smith@gmail.com</v>
      </c>
      <c r="E3" s="22"/>
    </row>
    <row r="4" spans="1:5" x14ac:dyDescent="0.25">
      <c r="A4" t="s">
        <v>130</v>
      </c>
      <c r="B4" t="s">
        <v>140</v>
      </c>
      <c r="C4" t="s">
        <v>147</v>
      </c>
      <c r="D4" s="22" t="str">
        <f t="shared" si="0"/>
        <v>kane.new@gmail.com</v>
      </c>
      <c r="E4" s="22"/>
    </row>
    <row r="5" spans="1:5" x14ac:dyDescent="0.25">
      <c r="A5" t="s">
        <v>131</v>
      </c>
      <c r="B5" t="s">
        <v>141</v>
      </c>
      <c r="C5" t="s">
        <v>148</v>
      </c>
      <c r="D5" s="22" t="str">
        <f t="shared" si="0"/>
        <v>joe.root@gmail.com</v>
      </c>
      <c r="E5" s="22"/>
    </row>
    <row r="6" spans="1:5" x14ac:dyDescent="0.25">
      <c r="A6" t="s">
        <v>132</v>
      </c>
      <c r="B6" t="s">
        <v>142</v>
      </c>
      <c r="C6" t="s">
        <v>149</v>
      </c>
      <c r="D6" s="22" t="str">
        <f t="shared" si="0"/>
        <v>babar.azam@gmail.com</v>
      </c>
      <c r="E6" s="22"/>
    </row>
    <row r="7" spans="1:5" x14ac:dyDescent="0.25">
      <c r="A7" t="s">
        <v>133</v>
      </c>
      <c r="B7" t="s">
        <v>116</v>
      </c>
      <c r="C7" t="s">
        <v>150</v>
      </c>
      <c r="D7" s="22" t="str">
        <f t="shared" si="0"/>
        <v>quinton.south@gmail.com</v>
      </c>
      <c r="E7" s="22"/>
    </row>
    <row r="8" spans="1:5" x14ac:dyDescent="0.25">
      <c r="A8" t="s">
        <v>134</v>
      </c>
      <c r="B8" t="s">
        <v>143</v>
      </c>
      <c r="C8" t="s">
        <v>45</v>
      </c>
      <c r="D8" s="22" t="str">
        <f t="shared" si="0"/>
        <v>jasprit.bumrah@gmail.com</v>
      </c>
      <c r="E8" s="22"/>
    </row>
    <row r="9" spans="1:5" x14ac:dyDescent="0.25">
      <c r="A9" t="s">
        <v>135</v>
      </c>
      <c r="B9" t="s">
        <v>144</v>
      </c>
      <c r="C9" t="s">
        <v>148</v>
      </c>
      <c r="D9" s="22" t="str">
        <f t="shared" si="0"/>
        <v>ben.stokes@gmail.com</v>
      </c>
      <c r="E9" s="22"/>
    </row>
    <row r="10" spans="1:5" x14ac:dyDescent="0.25">
      <c r="A10" t="s">
        <v>136</v>
      </c>
      <c r="B10" t="s">
        <v>145</v>
      </c>
      <c r="C10" t="s">
        <v>48</v>
      </c>
      <c r="D10" s="22" t="str">
        <f t="shared" si="0"/>
        <v>david.warner@gmail.com</v>
      </c>
      <c r="E10" s="22"/>
    </row>
    <row r="11" spans="1:5" x14ac:dyDescent="0.25">
      <c r="A11" t="s">
        <v>137</v>
      </c>
      <c r="B11" t="s">
        <v>146</v>
      </c>
      <c r="C11" t="s">
        <v>151</v>
      </c>
      <c r="D11" s="22" t="str">
        <f t="shared" si="0"/>
        <v>rashid.khan@gmail.com</v>
      </c>
      <c r="E11" s="22"/>
    </row>
    <row r="12" spans="1:5" x14ac:dyDescent="0.25">
      <c r="A12" t="s">
        <v>152</v>
      </c>
      <c r="B12" t="s">
        <v>140</v>
      </c>
      <c r="C12" t="s">
        <v>147</v>
      </c>
      <c r="D12" s="22" t="str">
        <f t="shared" si="0"/>
        <v>ross.new@gmail.com</v>
      </c>
      <c r="E12" s="22"/>
    </row>
    <row r="13" spans="1:5" x14ac:dyDescent="0.25">
      <c r="A13" t="s">
        <v>153</v>
      </c>
      <c r="B13" t="s">
        <v>116</v>
      </c>
      <c r="C13" t="s">
        <v>150</v>
      </c>
      <c r="D13" s="22" t="str">
        <f t="shared" si="0"/>
        <v>faf.south@gmail.com</v>
      </c>
      <c r="E13" s="22"/>
    </row>
    <row r="14" spans="1:5" x14ac:dyDescent="0.25">
      <c r="A14" t="s">
        <v>154</v>
      </c>
      <c r="B14" t="s">
        <v>162</v>
      </c>
      <c r="C14" t="s">
        <v>167</v>
      </c>
      <c r="D14" s="22" t="str">
        <f t="shared" si="0"/>
        <v>shakib.hasan@gmail.com</v>
      </c>
      <c r="E14" s="22"/>
    </row>
    <row r="15" spans="1:5" x14ac:dyDescent="0.25">
      <c r="A15" t="s">
        <v>155</v>
      </c>
      <c r="B15" t="s">
        <v>163</v>
      </c>
      <c r="C15" t="s">
        <v>148</v>
      </c>
      <c r="D15" s="22" t="str">
        <f t="shared" si="0"/>
        <v>eoin.morgan@gmail.com</v>
      </c>
      <c r="E15" s="22"/>
    </row>
    <row r="16" spans="1:5" x14ac:dyDescent="0.25">
      <c r="A16" t="s">
        <v>156</v>
      </c>
      <c r="B16" t="s">
        <v>164</v>
      </c>
      <c r="C16" t="s">
        <v>48</v>
      </c>
      <c r="D16" s="22" t="str">
        <f t="shared" si="0"/>
        <v>pat.cummins@gmail.com</v>
      </c>
      <c r="E16" s="22"/>
    </row>
    <row r="17" spans="1:5" x14ac:dyDescent="0.25">
      <c r="A17" t="s">
        <v>157</v>
      </c>
      <c r="B17" t="s">
        <v>115</v>
      </c>
      <c r="C17" t="s">
        <v>168</v>
      </c>
      <c r="D17" s="22" t="str">
        <f t="shared" si="0"/>
        <v>shai.west@gmail.com</v>
      </c>
      <c r="E17" s="22"/>
    </row>
    <row r="18" spans="1:5" x14ac:dyDescent="0.25">
      <c r="A18" t="s">
        <v>158</v>
      </c>
      <c r="B18" t="s">
        <v>165</v>
      </c>
      <c r="C18" t="s">
        <v>167</v>
      </c>
      <c r="D18" s="22" t="str">
        <f t="shared" si="0"/>
        <v>mushfiqur.rahim@gmail.com</v>
      </c>
      <c r="E18" s="22"/>
    </row>
    <row r="19" spans="1:5" x14ac:dyDescent="0.25">
      <c r="A19" t="s">
        <v>159</v>
      </c>
      <c r="B19" t="s">
        <v>166</v>
      </c>
      <c r="C19" t="s">
        <v>169</v>
      </c>
      <c r="D19" s="22" t="str">
        <f t="shared" si="0"/>
        <v>lasith.sri@gmail.com</v>
      </c>
      <c r="E19" s="22"/>
    </row>
    <row r="20" spans="1:5" x14ac:dyDescent="0.25">
      <c r="A20" t="s">
        <v>160</v>
      </c>
      <c r="B20" t="s">
        <v>115</v>
      </c>
      <c r="C20" t="s">
        <v>168</v>
      </c>
      <c r="D20" s="22" t="str">
        <f t="shared" si="0"/>
        <v>jason.west@gmail.com</v>
      </c>
      <c r="E20" s="22"/>
    </row>
    <row r="21" spans="1:5" x14ac:dyDescent="0.25">
      <c r="A21" t="s">
        <v>161</v>
      </c>
      <c r="B21" t="s">
        <v>116</v>
      </c>
      <c r="C21" t="s">
        <v>150</v>
      </c>
      <c r="D21" s="22" t="str">
        <f t="shared" si="0"/>
        <v>kagiso.south@gmail.com</v>
      </c>
      <c r="E21" s="22"/>
    </row>
  </sheetData>
  <hyperlinks>
    <hyperlink ref="D2" r:id="rId1" display="virat.kohli@gmail.com" xr:uid="{AC914F04-4F2C-400A-9345-0D765A63C65C}"/>
    <hyperlink ref="D3:D21" r:id="rId2" display="virat.kohli@gmail.com" xr:uid="{1F86E929-5677-4A3F-BBC1-F9579E9752D9}"/>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3A2D-6A45-407C-829E-DCB65F1DBBB1}">
  <sheetPr codeName="Sheet29"/>
  <dimension ref="A1:D21"/>
  <sheetViews>
    <sheetView tabSelected="1" zoomScale="220" zoomScaleNormal="220" workbookViewId="0">
      <selection activeCell="B4" sqref="B4"/>
    </sheetView>
  </sheetViews>
  <sheetFormatPr defaultRowHeight="15" x14ac:dyDescent="0.25"/>
  <cols>
    <col min="1" max="1" width="26.85546875" bestFit="1" customWidth="1"/>
    <col min="2" max="2" width="9.7109375" bestFit="1" customWidth="1"/>
    <col min="3" max="3" width="9.42578125" bestFit="1" customWidth="1"/>
    <col min="4" max="4" width="12.5703125" bestFit="1" customWidth="1"/>
  </cols>
  <sheetData>
    <row r="1" spans="1:4" x14ac:dyDescent="0.25">
      <c r="B1" t="s">
        <v>170</v>
      </c>
      <c r="C1" t="s">
        <v>171</v>
      </c>
      <c r="D1" t="s">
        <v>36</v>
      </c>
    </row>
    <row r="2" spans="1:4" x14ac:dyDescent="0.25">
      <c r="A2" t="s">
        <v>117</v>
      </c>
      <c r="B2" t="str">
        <f>LEFT(A2,FIND(" ",A2)-1)</f>
        <v>Virat</v>
      </c>
      <c r="C2" t="str">
        <f>MID(A2,FIND(" ",A2)+1,FIND("(",A2)-FIND(" ",A2)-2)</f>
        <v>Kohli</v>
      </c>
      <c r="D2" t="str">
        <f>TRIM(MID(A2,FIND("(",A2)+1,LEN(A2)-FIND("(",A2)-1))</f>
        <v>India</v>
      </c>
    </row>
    <row r="3" spans="1:4" x14ac:dyDescent="0.25">
      <c r="A3" t="s">
        <v>118</v>
      </c>
      <c r="B3" t="str">
        <f t="shared" ref="B3:B21" si="0">LEFT(A3,FIND(" ",A3)-1)</f>
        <v>Steve</v>
      </c>
      <c r="C3" t="str">
        <f t="shared" ref="C3:C21" si="1">MID(A3,FIND(" ",A3)+1,FIND("(",A3)-FIND(" ",A3)-2)</f>
        <v>Smith</v>
      </c>
      <c r="D3" t="str">
        <f t="shared" ref="D3:D21" si="2">TRIM(MID(A3,FIND("(",A3)+1,LEN(A3)-FIND("(",A3)-1))</f>
        <v>Australia</v>
      </c>
    </row>
    <row r="4" spans="1:4" x14ac:dyDescent="0.25">
      <c r="A4" t="s">
        <v>172</v>
      </c>
      <c r="B4" t="str">
        <f t="shared" si="0"/>
        <v>Kane</v>
      </c>
      <c r="C4" t="str">
        <f t="shared" si="1"/>
        <v>New</v>
      </c>
      <c r="D4" t="str">
        <f t="shared" si="2"/>
        <v>New Zealand</v>
      </c>
    </row>
    <row r="5" spans="1:4" x14ac:dyDescent="0.25">
      <c r="A5" t="s">
        <v>119</v>
      </c>
      <c r="B5" t="str">
        <f t="shared" si="0"/>
        <v>Joe</v>
      </c>
      <c r="C5" t="str">
        <f t="shared" si="1"/>
        <v>Root</v>
      </c>
      <c r="D5" t="str">
        <f t="shared" si="2"/>
        <v>England</v>
      </c>
    </row>
    <row r="6" spans="1:4" x14ac:dyDescent="0.25">
      <c r="A6" t="s">
        <v>120</v>
      </c>
      <c r="B6" t="str">
        <f t="shared" si="0"/>
        <v>Babar</v>
      </c>
      <c r="C6" t="str">
        <f t="shared" si="1"/>
        <v>Azam</v>
      </c>
      <c r="D6" t="str">
        <f t="shared" si="2"/>
        <v>Pakistan</v>
      </c>
    </row>
    <row r="7" spans="1:4" x14ac:dyDescent="0.25">
      <c r="A7" t="s">
        <v>173</v>
      </c>
      <c r="B7" t="str">
        <f t="shared" si="0"/>
        <v>Quinton</v>
      </c>
      <c r="C7" t="str">
        <f t="shared" si="1"/>
        <v>South</v>
      </c>
      <c r="D7" t="str">
        <f t="shared" si="2"/>
        <v>South Africa</v>
      </c>
    </row>
    <row r="8" spans="1:4" x14ac:dyDescent="0.25">
      <c r="A8" t="s">
        <v>121</v>
      </c>
      <c r="B8" t="str">
        <f t="shared" si="0"/>
        <v>Jasprit</v>
      </c>
      <c r="C8" t="str">
        <f t="shared" si="1"/>
        <v>Bumrah</v>
      </c>
      <c r="D8" t="str">
        <f t="shared" si="2"/>
        <v>India</v>
      </c>
    </row>
    <row r="9" spans="1:4" x14ac:dyDescent="0.25">
      <c r="A9" t="s">
        <v>122</v>
      </c>
      <c r="B9" t="str">
        <f t="shared" si="0"/>
        <v>Ben</v>
      </c>
      <c r="C9" t="str">
        <f t="shared" si="1"/>
        <v>Stokes</v>
      </c>
      <c r="D9" t="str">
        <f t="shared" si="2"/>
        <v>England</v>
      </c>
    </row>
    <row r="10" spans="1:4" x14ac:dyDescent="0.25">
      <c r="A10" t="s">
        <v>123</v>
      </c>
      <c r="B10" t="str">
        <f t="shared" si="0"/>
        <v>David</v>
      </c>
      <c r="C10" t="str">
        <f t="shared" si="1"/>
        <v>Warner</v>
      </c>
      <c r="D10" t="str">
        <f t="shared" si="2"/>
        <v>Australia</v>
      </c>
    </row>
    <row r="11" spans="1:4" x14ac:dyDescent="0.25">
      <c r="A11" t="s">
        <v>124</v>
      </c>
      <c r="B11" t="str">
        <f t="shared" si="0"/>
        <v>Rashid</v>
      </c>
      <c r="C11" t="str">
        <f t="shared" si="1"/>
        <v>Khan</v>
      </c>
      <c r="D11" t="str">
        <f t="shared" si="2"/>
        <v>Afghanistan</v>
      </c>
    </row>
    <row r="12" spans="1:4" x14ac:dyDescent="0.25">
      <c r="A12" t="s">
        <v>174</v>
      </c>
      <c r="B12" t="str">
        <f t="shared" si="0"/>
        <v>Ross</v>
      </c>
      <c r="C12" t="str">
        <f t="shared" si="1"/>
        <v>New</v>
      </c>
      <c r="D12" t="str">
        <f t="shared" si="2"/>
        <v>New Zealand</v>
      </c>
    </row>
    <row r="13" spans="1:4" x14ac:dyDescent="0.25">
      <c r="A13" t="s">
        <v>175</v>
      </c>
      <c r="B13" t="str">
        <f t="shared" si="0"/>
        <v>Faf</v>
      </c>
      <c r="C13" t="str">
        <f t="shared" si="1"/>
        <v>South</v>
      </c>
      <c r="D13" t="str">
        <f t="shared" si="2"/>
        <v>South Africa</v>
      </c>
    </row>
    <row r="14" spans="1:4" x14ac:dyDescent="0.25">
      <c r="A14" t="s">
        <v>176</v>
      </c>
      <c r="B14" t="str">
        <f t="shared" si="0"/>
        <v>Shakib</v>
      </c>
      <c r="C14" t="str">
        <f t="shared" si="1"/>
        <v>Hasan</v>
      </c>
      <c r="D14" t="str">
        <f t="shared" si="2"/>
        <v>Bangladesh</v>
      </c>
    </row>
    <row r="15" spans="1:4" x14ac:dyDescent="0.25">
      <c r="A15" t="s">
        <v>125</v>
      </c>
      <c r="B15" t="str">
        <f t="shared" si="0"/>
        <v>Eoin</v>
      </c>
      <c r="C15" t="str">
        <f t="shared" si="1"/>
        <v>Morgan</v>
      </c>
      <c r="D15" t="str">
        <f t="shared" si="2"/>
        <v>England</v>
      </c>
    </row>
    <row r="16" spans="1:4" x14ac:dyDescent="0.25">
      <c r="A16" t="s">
        <v>126</v>
      </c>
      <c r="B16" t="str">
        <f t="shared" si="0"/>
        <v>Pat</v>
      </c>
      <c r="C16" t="str">
        <f t="shared" si="1"/>
        <v>Cummins</v>
      </c>
      <c r="D16" t="str">
        <f t="shared" si="2"/>
        <v>Australia</v>
      </c>
    </row>
    <row r="17" spans="1:4" x14ac:dyDescent="0.25">
      <c r="A17" t="s">
        <v>177</v>
      </c>
      <c r="B17" t="str">
        <f t="shared" si="0"/>
        <v>Shai</v>
      </c>
      <c r="C17" t="str">
        <f t="shared" si="1"/>
        <v>West</v>
      </c>
      <c r="D17" t="str">
        <f t="shared" si="2"/>
        <v>West Indies</v>
      </c>
    </row>
    <row r="18" spans="1:4" x14ac:dyDescent="0.25">
      <c r="A18" t="s">
        <v>127</v>
      </c>
      <c r="B18" t="str">
        <f t="shared" si="0"/>
        <v>Mushfiqur</v>
      </c>
      <c r="C18" t="str">
        <f t="shared" si="1"/>
        <v>Rahim</v>
      </c>
      <c r="D18" t="str">
        <f t="shared" si="2"/>
        <v>Bangladesh</v>
      </c>
    </row>
    <row r="19" spans="1:4" x14ac:dyDescent="0.25">
      <c r="A19" t="s">
        <v>178</v>
      </c>
      <c r="B19" t="str">
        <f t="shared" si="0"/>
        <v>Lasith</v>
      </c>
      <c r="C19" t="str">
        <f t="shared" si="1"/>
        <v>Sri</v>
      </c>
      <c r="D19" t="str">
        <f t="shared" si="2"/>
        <v>Sri Lanka</v>
      </c>
    </row>
    <row r="20" spans="1:4" x14ac:dyDescent="0.25">
      <c r="A20" t="s">
        <v>179</v>
      </c>
      <c r="B20" t="str">
        <f t="shared" si="0"/>
        <v>Jason</v>
      </c>
      <c r="C20" t="str">
        <f t="shared" si="1"/>
        <v>West</v>
      </c>
      <c r="D20" t="str">
        <f t="shared" si="2"/>
        <v>West Indies</v>
      </c>
    </row>
    <row r="21" spans="1:4" x14ac:dyDescent="0.25">
      <c r="A21" t="s">
        <v>180</v>
      </c>
      <c r="B21" t="str">
        <f t="shared" si="0"/>
        <v>Kagiso</v>
      </c>
      <c r="C21" t="str">
        <f t="shared" si="1"/>
        <v>South</v>
      </c>
      <c r="D21" t="str">
        <f t="shared" si="2"/>
        <v>South Africa</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57759-EDE0-453F-8B4A-E89C75B69BC9}">
  <sheetPr codeName="Sheet30"/>
  <dimension ref="A1:D21"/>
  <sheetViews>
    <sheetView zoomScale="190" zoomScaleNormal="190" workbookViewId="0">
      <selection activeCell="C4" sqref="C4"/>
    </sheetView>
  </sheetViews>
  <sheetFormatPr defaultRowHeight="15" x14ac:dyDescent="0.25"/>
  <cols>
    <col min="1" max="1" width="26.85546875" bestFit="1" customWidth="1"/>
    <col min="2" max="2" width="9.7109375" bestFit="1" customWidth="1"/>
    <col min="3" max="3" width="9.42578125" customWidth="1"/>
    <col min="4" max="4" width="7.42578125" bestFit="1" customWidth="1"/>
  </cols>
  <sheetData>
    <row r="1" spans="1:4" x14ac:dyDescent="0.25">
      <c r="B1" t="s">
        <v>170</v>
      </c>
      <c r="C1" t="s">
        <v>171</v>
      </c>
      <c r="D1" t="s">
        <v>36</v>
      </c>
    </row>
    <row r="2" spans="1:4" x14ac:dyDescent="0.25">
      <c r="A2" t="s">
        <v>117</v>
      </c>
    </row>
    <row r="3" spans="1:4" x14ac:dyDescent="0.25">
      <c r="A3" t="s">
        <v>118</v>
      </c>
    </row>
    <row r="4" spans="1:4" x14ac:dyDescent="0.25">
      <c r="A4" t="s">
        <v>172</v>
      </c>
    </row>
    <row r="5" spans="1:4" x14ac:dyDescent="0.25">
      <c r="A5" t="s">
        <v>119</v>
      </c>
    </row>
    <row r="6" spans="1:4" x14ac:dyDescent="0.25">
      <c r="A6" t="s">
        <v>120</v>
      </c>
    </row>
    <row r="7" spans="1:4" x14ac:dyDescent="0.25">
      <c r="A7" t="s">
        <v>173</v>
      </c>
    </row>
    <row r="8" spans="1:4" x14ac:dyDescent="0.25">
      <c r="A8" t="s">
        <v>121</v>
      </c>
    </row>
    <row r="9" spans="1:4" x14ac:dyDescent="0.25">
      <c r="A9" t="s">
        <v>122</v>
      </c>
    </row>
    <row r="10" spans="1:4" x14ac:dyDescent="0.25">
      <c r="A10" t="s">
        <v>123</v>
      </c>
    </row>
    <row r="11" spans="1:4" x14ac:dyDescent="0.25">
      <c r="A11" t="s">
        <v>124</v>
      </c>
    </row>
    <row r="12" spans="1:4" x14ac:dyDescent="0.25">
      <c r="A12" t="s">
        <v>174</v>
      </c>
    </row>
    <row r="13" spans="1:4" x14ac:dyDescent="0.25">
      <c r="A13" t="s">
        <v>175</v>
      </c>
    </row>
    <row r="14" spans="1:4" x14ac:dyDescent="0.25">
      <c r="A14" t="s">
        <v>176</v>
      </c>
    </row>
    <row r="15" spans="1:4" x14ac:dyDescent="0.25">
      <c r="A15" t="s">
        <v>125</v>
      </c>
    </row>
    <row r="16" spans="1:4" x14ac:dyDescent="0.25">
      <c r="A16" t="s">
        <v>126</v>
      </c>
    </row>
    <row r="17" spans="1:1" x14ac:dyDescent="0.25">
      <c r="A17" t="s">
        <v>177</v>
      </c>
    </row>
    <row r="18" spans="1:1" x14ac:dyDescent="0.25">
      <c r="A18" t="s">
        <v>127</v>
      </c>
    </row>
    <row r="19" spans="1:1" x14ac:dyDescent="0.25">
      <c r="A19" t="s">
        <v>178</v>
      </c>
    </row>
    <row r="20" spans="1:1" x14ac:dyDescent="0.25">
      <c r="A20" t="s">
        <v>179</v>
      </c>
    </row>
    <row r="21" spans="1:1" x14ac:dyDescent="0.25">
      <c r="A21" t="s">
        <v>180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47C6-56A2-4143-A724-93C599B10B1E}">
  <sheetPr codeName="Sheet34"/>
  <dimension ref="A1:E21"/>
  <sheetViews>
    <sheetView zoomScale="175" zoomScaleNormal="175" workbookViewId="0">
      <selection activeCell="A5" sqref="A5"/>
    </sheetView>
  </sheetViews>
  <sheetFormatPr defaultRowHeight="15" x14ac:dyDescent="0.25"/>
  <cols>
    <col min="1" max="1" width="26.85546875" bestFit="1" customWidth="1"/>
    <col min="4" max="4" width="18.5703125" bestFit="1" customWidth="1"/>
  </cols>
  <sheetData>
    <row r="1" spans="1:5" x14ac:dyDescent="0.25">
      <c r="A1" t="s">
        <v>181</v>
      </c>
      <c r="D1" t="s">
        <v>182</v>
      </c>
      <c r="E1" s="6"/>
    </row>
    <row r="2" spans="1:5" x14ac:dyDescent="0.25">
      <c r="A2" t="s">
        <v>117</v>
      </c>
    </row>
    <row r="3" spans="1:5" x14ac:dyDescent="0.25">
      <c r="A3" t="s">
        <v>118</v>
      </c>
    </row>
    <row r="4" spans="1:5" x14ac:dyDescent="0.25">
      <c r="A4" t="s">
        <v>172</v>
      </c>
    </row>
    <row r="5" spans="1:5" x14ac:dyDescent="0.25">
      <c r="A5" t="s">
        <v>119</v>
      </c>
    </row>
    <row r="6" spans="1:5" x14ac:dyDescent="0.25">
      <c r="A6" t="s">
        <v>120</v>
      </c>
    </row>
    <row r="7" spans="1:5" x14ac:dyDescent="0.25">
      <c r="A7" t="s">
        <v>173</v>
      </c>
    </row>
    <row r="8" spans="1:5" x14ac:dyDescent="0.25">
      <c r="A8" t="s">
        <v>121</v>
      </c>
    </row>
    <row r="9" spans="1:5" x14ac:dyDescent="0.25">
      <c r="A9" t="s">
        <v>122</v>
      </c>
    </row>
    <row r="10" spans="1:5" x14ac:dyDescent="0.25">
      <c r="A10" t="s">
        <v>123</v>
      </c>
    </row>
    <row r="11" spans="1:5" x14ac:dyDescent="0.25">
      <c r="A11" t="s">
        <v>124</v>
      </c>
    </row>
    <row r="12" spans="1:5" x14ac:dyDescent="0.25">
      <c r="A12" t="s">
        <v>174</v>
      </c>
    </row>
    <row r="13" spans="1:5" x14ac:dyDescent="0.25">
      <c r="A13" t="s">
        <v>175</v>
      </c>
    </row>
    <row r="14" spans="1:5" x14ac:dyDescent="0.25">
      <c r="A14" t="s">
        <v>176</v>
      </c>
    </row>
    <row r="15" spans="1:5" x14ac:dyDescent="0.25">
      <c r="A15" t="s">
        <v>125</v>
      </c>
    </row>
    <row r="16" spans="1:5" x14ac:dyDescent="0.25">
      <c r="A16" t="s">
        <v>126</v>
      </c>
    </row>
    <row r="17" spans="1:1" x14ac:dyDescent="0.25">
      <c r="A17" t="s">
        <v>177</v>
      </c>
    </row>
    <row r="18" spans="1:1" x14ac:dyDescent="0.25">
      <c r="A18" t="s">
        <v>127</v>
      </c>
    </row>
    <row r="19" spans="1:1" x14ac:dyDescent="0.25">
      <c r="A19" t="s">
        <v>178</v>
      </c>
    </row>
    <row r="20" spans="1:1" x14ac:dyDescent="0.25">
      <c r="A20" t="s">
        <v>179</v>
      </c>
    </row>
    <row r="21" spans="1:1" x14ac:dyDescent="0.25">
      <c r="A21"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001 - Remove Formatting</vt:lpstr>
      <vt:lpstr>002 - Autofit Columns</vt:lpstr>
      <vt:lpstr>003 - Sum and Difference</vt:lpstr>
      <vt:lpstr>004 - Get the Net Income 1</vt:lpstr>
      <vt:lpstr>005 - Remove $</vt:lpstr>
      <vt:lpstr>006 - Get Net Income 2</vt:lpstr>
      <vt:lpstr>007 - Calculate change %</vt:lpstr>
      <vt:lpstr>008 - Avg Change %</vt:lpstr>
      <vt:lpstr>009 - Sort by Country</vt:lpstr>
      <vt:lpstr>010 - Finding Stable or Growth</vt:lpstr>
      <vt:lpstr>011 - Show by Remaks, Country</vt:lpstr>
      <vt:lpstr>012 - Conditionaly Color Remark</vt:lpstr>
      <vt:lpstr>012 - Conditionaly Color Custom</vt:lpstr>
      <vt:lpstr>013 - Show Up Down Arrows</vt:lpstr>
      <vt:lpstr>014 - Summarize Growth &amp; Stable</vt:lpstr>
      <vt:lpstr>014 - Summarize Growth &amp; St (2)</vt:lpstr>
      <vt:lpstr>015 - Concatenate Headings</vt:lpstr>
      <vt:lpstr>016 - Get Change % (Table)</vt:lpstr>
      <vt:lpstr>017 - Get Change % (Table) (2)</vt:lpstr>
      <vt:lpstr>018 - &lt;=  0 Red else Green</vt:lpstr>
      <vt:lpstr>019 - Color in First table</vt:lpstr>
      <vt:lpstr>020 - Lookup Price</vt:lpstr>
      <vt:lpstr>021 - Lookup Dept Name</vt:lpstr>
      <vt:lpstr>Sheet5</vt:lpstr>
      <vt:lpstr>Sheet6</vt:lpstr>
      <vt:lpstr>Sheet6 (2)</vt:lpstr>
      <vt:lpstr>022 - 2 to 1 Table Lookup</vt:lpstr>
      <vt:lpstr>023 - Create Table</vt:lpstr>
      <vt:lpstr>024 - Lookup from other Sheet</vt:lpstr>
      <vt:lpstr>025 - Combine Names</vt:lpstr>
      <vt:lpstr>025 - Combine Names (2)</vt:lpstr>
      <vt:lpstr>025 - Combine Names (3)</vt:lpstr>
      <vt:lpstr>026 - Split Names</vt:lpstr>
      <vt:lpstr>027 -Show Country in Caps</vt:lpstr>
      <vt:lpstr>028 - Cricketers in 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Raza</dc:creator>
  <cp:lastModifiedBy>Mohammed Raza</cp:lastModifiedBy>
  <dcterms:created xsi:type="dcterms:W3CDTF">2015-06-05T18:17:20Z</dcterms:created>
  <dcterms:modified xsi:type="dcterms:W3CDTF">2025-11-11T11:01:57Z</dcterms:modified>
</cp:coreProperties>
</file>